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Term Map" sheetId="2" state="visible" r:id="rId4"/>
    <sheet name="Modules" sheetId="3" state="visible" r:id="rId5"/>
    <sheet name="Riverbend Water" sheetId="4" state="visible" r:id="rId6"/>
    <sheet name="Learning Paths" sheetId="5" state="visible" r:id="rId7"/>
    <sheet name="Sources" sheetId="6" state="visible" r:id="rId8"/>
  </sheets>
  <definedNames>
    <definedName function="false" hidden="true" localSheetId="4" name="_xlnm._FilterDatabase" vbProcedure="false">'Learning Paths'!$A$1:$F$95</definedName>
    <definedName function="false" hidden="true" localSheetId="1" name="_xlnm._FilterDatabase" vbProcedure="false">'Term Map'!$A$1:$Q$319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<sst xmlns="http://schemas.openxmlformats.org/spreadsheetml/2006/main" count="4464" uniqueCount="2580">
  <si>
    <t xml:space="preserve">Maximo Starter Glossary: Full Term Map</t>
  </si>
  <si>
    <t xml:space="preserve">Content plan for an open, plain-English Maximo glossary and learning site. Built around one fictional organization so every example connects.</t>
  </si>
  <si>
    <t xml:space="preserve">What this is</t>
  </si>
  <si>
    <t xml:space="preserve">The complete list of terms for the site, grouped into 14 modules, with a first-draft definition, where it lives in Maximo, a worked example from Riverbend Water, related terms, common misconceptions and version notes.</t>
  </si>
  <si>
    <t xml:space="preserve">Total terms</t>
  </si>
  <si>
    <t xml:space="preserve">Verified so far</t>
  </si>
  <si>
    <t xml:space="preserve">Percent verified</t>
  </si>
  <si>
    <t xml:space="preserve">How to use it</t>
  </si>
  <si>
    <t xml:space="preserve">1. Read the Riverbend Water tab first so the examples make sense.
2. Work through the Term Map, rewriting each definition in your own voice. The drafts are a starting point, not the final copy.
3. Have a hands-on Maximo practitioner check each row against IBM Docs for your target version, then set Review Status to Verified.
4. Use the Learning Paths tab to build guided tracks on the site.
5. The Page Slug column gives a ready-made URL for each term page.</t>
  </si>
  <si>
    <t xml:space="preserve">Review Status values</t>
  </si>
  <si>
    <t xml:space="preserve">Not started &gt; Drafted &gt; In review &gt; Verified &gt; Published. Every row starts as Drafted.</t>
  </si>
  <si>
    <t xml:space="preserve">Columns you edit</t>
  </si>
  <si>
    <t xml:space="preserve">Review Status, Reviewer, Reviewer Notes, and any wording you want to change. Everything else is reference content.</t>
  </si>
  <si>
    <t xml:space="preserve">Example row</t>
  </si>
  <si>
    <t xml:space="preserve">M03-005 'Work Order Lifecycle / Status Flow' shows the expected depth: definition, status codes, a Riverbend example, related terms and a misconception.</t>
  </si>
  <si>
    <t xml:space="preserve">Accuracy note</t>
  </si>
  <si>
    <t xml:space="preserve">Version facts were checked against IBM sources in October 2026 (see Sources tab). Field names, statuses, licensing values and app availability can change between releases and are configurable per customer, so confirm against IBM Docs for the version you write about.</t>
  </si>
  <si>
    <t xml:space="preserve">Disclaimer for the site</t>
  </si>
  <si>
    <t xml:space="preserve">Independent community resource. Not affiliated with or endorsed by IBM. IBM, Maximo and related names are trademarks of IBM Corp. Riverbend Water Authority is fictional.</t>
  </si>
  <si>
    <t xml:space="preserve">ID</t>
  </si>
  <si>
    <t xml:space="preserve">Module</t>
  </si>
  <si>
    <t xml:space="preserve">Sub-area</t>
  </si>
  <si>
    <t xml:space="preserve">Term</t>
  </si>
  <si>
    <t xml:space="preserve">Field / Code</t>
  </si>
  <si>
    <t xml:space="preserve">Plain-English Definition</t>
  </si>
  <si>
    <t xml:space="preserve">Where in Maximo</t>
  </si>
  <si>
    <t xml:space="preserve">Riverbend Water Example</t>
  </si>
  <si>
    <t xml:space="preserve">Related Terms</t>
  </si>
  <si>
    <t xml:space="preserve">Common Misconception</t>
  </si>
  <si>
    <t xml:space="preserve">Difficulty</t>
  </si>
  <si>
    <t xml:space="preserve">Version Note (7.6 / MAS)</t>
  </si>
  <si>
    <t xml:space="preserve">Verify In (IBM Docs area)</t>
  </si>
  <si>
    <t xml:space="preserve">Review Status</t>
  </si>
  <si>
    <t xml:space="preserve">Reviewer</t>
  </si>
  <si>
    <t xml:space="preserve">Reviewer Notes</t>
  </si>
  <si>
    <t xml:space="preserve">Page Slug</t>
  </si>
  <si>
    <t xml:space="preserve">M01-001</t>
  </si>
  <si>
    <t xml:space="preserve">01 Foundations and Structure</t>
  </si>
  <si>
    <t xml:space="preserve">Multisite structure</t>
  </si>
  <si>
    <t xml:space="preserve">Organization</t>
  </si>
  <si>
    <t xml:space="preserve">ORGID</t>
  </si>
  <si>
    <t xml:space="preserve">The top level of how a company is set up in Maximo. An organization holds the financial rules: base currency, general ledger structure, and many default options that every site under it follows.</t>
  </si>
  <si>
    <t xml:space="preserve">Organizations app (Administration)</t>
  </si>
  <si>
    <t xml:space="preserve">Riverbend Water Authority is one organization, RWA, with Canadian dollars as its base currency.</t>
  </si>
  <si>
    <t xml:space="preserve">Site; Item Set; Company Set; Base Currency; GL Account</t>
  </si>
  <si>
    <t xml:space="preserve">People often think an organization is just a label. It actually controls financial behavior, so splitting one company into several organizations has real consequences.</t>
  </si>
  <si>
    <t xml:space="preserve">Beginner</t>
  </si>
  <si>
    <t xml:space="preserve">Same concept in 7.6 and MAS.</t>
  </si>
  <si>
    <t xml:space="preserve">IBM Docs &gt; Maximo Manage &gt; Administering &gt; Organizations and sites</t>
  </si>
  <si>
    <t xml:space="preserve">Drafted</t>
  </si>
  <si>
    <t xml:space="preserve">organization</t>
  </si>
  <si>
    <t xml:space="preserve">M01-002</t>
  </si>
  <si>
    <t xml:space="preserve">Site</t>
  </si>
  <si>
    <t xml:space="preserve">SITEID</t>
  </si>
  <si>
    <t xml:space="preserve">An operational place that belongs to an organization, like a plant, campus or yard. Most day to day records, including work orders, assets and storeroom inventory, are stored at the site level.</t>
  </si>
  <si>
    <t xml:space="preserve">Organizations app, Sites action</t>
  </si>
  <si>
    <t xml:space="preserve">RWA has three sites: TP1 (Riverbend Treatment Plant), DIST (Distribution Network) and FLEET (Fleet Yard).</t>
  </si>
  <si>
    <t xml:space="preserve">Organization; Default Insert Site; Multisite</t>
  </si>
  <si>
    <t xml:space="preserve">A site is not the same as a location. A site is a top-level bucket, and locations are the places inside it.</t>
  </si>
  <si>
    <t xml:space="preserve">site</t>
  </si>
  <si>
    <t xml:space="preserve">M01-003</t>
  </si>
  <si>
    <t xml:space="preserve">Item Set</t>
  </si>
  <si>
    <t xml:space="preserve">ITEMSETID</t>
  </si>
  <si>
    <t xml:space="preserve">A shared catalog of items and tools that one or more organizations can use. It lets several organizations share the same item numbers and descriptions.</t>
  </si>
  <si>
    <t xml:space="preserve">Sets app</t>
  </si>
  <si>
    <t xml:space="preserve">RWA uses the item set RWAITEMS, so seal kit 1001-SEAL means the same thing at every site.</t>
  </si>
  <si>
    <t xml:space="preserve">Item Master; Company Set; Organization</t>
  </si>
  <si>
    <t xml:space="preserve">Item sets hold the item definition only. Stock levels and costs live at the storeroom level, not in the item set.</t>
  </si>
  <si>
    <t xml:space="preserve">Intermediate</t>
  </si>
  <si>
    <t xml:space="preserve">item-set</t>
  </si>
  <si>
    <t xml:space="preserve">M01-004</t>
  </si>
  <si>
    <t xml:space="preserve">Company Set</t>
  </si>
  <si>
    <t xml:space="preserve">COMPANYSETID</t>
  </si>
  <si>
    <t xml:space="preserve">A shared list of vendors, manufacturers and other companies that organizations can use. Like item sets, it avoids keeping duplicate vendor records.</t>
  </si>
  <si>
    <t xml:space="preserve">Sets app; Company Master app</t>
  </si>
  <si>
    <t xml:space="preserve">Northshore Pump Supply is set up once in the RWA company set and used for purchasing at all three sites.</t>
  </si>
  <si>
    <t xml:space="preserve">Company / Vendor</t>
  </si>
  <si>
    <t xml:space="preserve">company-set</t>
  </si>
  <si>
    <t xml:space="preserve">M01-005</t>
  </si>
  <si>
    <t xml:space="preserve">Multisite</t>
  </si>
  <si>
    <t xml:space="preserve">Maximo's ability to run many sites and organizations in one system while keeping data separated where it needs to be. Security, numbering and defaults can all be controlled by site.</t>
  </si>
  <si>
    <t xml:space="preserve">Organizations app; Security Groups app</t>
  </si>
  <si>
    <t xml:space="preserve">A planner at TP1 only sees TP1 work orders, while the asset manager at head office sees all three sites.</t>
  </si>
  <si>
    <t xml:space="preserve">Organization; Site; Security Group; Site-level vs Org-level vs System-level Object</t>
  </si>
  <si>
    <t xml:space="preserve">multisite</t>
  </si>
  <si>
    <t xml:space="preserve">M01-006</t>
  </si>
  <si>
    <t xml:space="preserve">Default Insert Site</t>
  </si>
  <si>
    <t xml:space="preserve">The site that new records are automatically created in for a user. It is set on each user's profile and saves users from picking a site every time.</t>
  </si>
  <si>
    <t xml:space="preserve">Users app; user profile (Default Information)</t>
  </si>
  <si>
    <t xml:space="preserve">Ana, a TP1 planner, has TP1 as her default insert site, so every new work order she creates lands at the plant.</t>
  </si>
  <si>
    <t xml:space="preserve">Site; User; Person</t>
  </si>
  <si>
    <t xml:space="preserve">If a user creates records at the wrong site, the default insert site is the first thing to check.</t>
  </si>
  <si>
    <t xml:space="preserve">default-insert-site</t>
  </si>
  <si>
    <t xml:space="preserve">M01-007</t>
  </si>
  <si>
    <t xml:space="preserve">Site-level vs Org-level vs System-level Object</t>
  </si>
  <si>
    <t xml:space="preserve">Every record type in Maximo belongs at a certain level. Work orders are site-level, chart of account settings are org-level, and things like users and domains are system-level.</t>
  </si>
  <si>
    <t xml:space="preserve">Database Configuration app (Level field on each object)</t>
  </si>
  <si>
    <t xml:space="preserve">Two sites can each have a work order number 1001 because work orders are site-level, but there is only one user named ANAPLANNER.</t>
  </si>
  <si>
    <t xml:space="preserve">Organization; Site; Database Configuration</t>
  </si>
  <si>
    <t xml:space="preserve">Advanced</t>
  </si>
  <si>
    <t xml:space="preserve">site-level-vs-org-level-vs-system-level-object</t>
  </si>
  <si>
    <t xml:space="preserve">M01-008</t>
  </si>
  <si>
    <t xml:space="preserve">Base Currency</t>
  </si>
  <si>
    <t xml:space="preserve">The main currency an organization uses for its financial records. Transactions in other currencies are converted to it using exchange rates.</t>
  </si>
  <si>
    <t xml:space="preserve">Organizations app; Currency Code app</t>
  </si>
  <si>
    <t xml:space="preserve">RWA's base currency is CAD. A pump bought in USD is converted to CAD on the PO.</t>
  </si>
  <si>
    <t xml:space="preserve">Currency Code / Exchange Rate; Organization</t>
  </si>
  <si>
    <t xml:space="preserve">base-currency</t>
  </si>
  <si>
    <t xml:space="preserve">M01-009</t>
  </si>
  <si>
    <t xml:space="preserve">Record basics</t>
  </si>
  <si>
    <t xml:space="preserve">Application</t>
  </si>
  <si>
    <t xml:space="preserve">A screen or set of screens in Maximo built around one main type of record, such as Work Order Tracking or Assets. Users open applications from the navigator menu.</t>
  </si>
  <si>
    <t xml:space="preserve">Navigator / side menu</t>
  </si>
  <si>
    <t xml:space="preserve">A technician opens the Work Order Tracking application to see open jobs.</t>
  </si>
  <si>
    <t xml:space="preserve">Module; Object (Maximo Business Object / MBO); Start Center; Role-based Application</t>
  </si>
  <si>
    <t xml:space="preserve">In MAS 9.1 and later, a new unified navigation bar organizes applications across the suite.</t>
  </si>
  <si>
    <t xml:space="preserve">application</t>
  </si>
  <si>
    <t xml:space="preserve">M01-010</t>
  </si>
  <si>
    <t xml:space="preserve">A group of related applications in the menu, such as Work Orders, Inventory or Purchasing.</t>
  </si>
  <si>
    <t xml:space="preserve">The Inventory module includes Item Master, Inventory, Storerooms and Issues and Transfers.</t>
  </si>
  <si>
    <t xml:space="preserve">module</t>
  </si>
  <si>
    <t xml:space="preserve">M01-011</t>
  </si>
  <si>
    <t xml:space="preserve">Record</t>
  </si>
  <si>
    <t xml:space="preserve">A single entry in an application, like one asset, one work order or one purchase order.</t>
  </si>
  <si>
    <t xml:space="preserve">All applications</t>
  </si>
  <si>
    <t xml:space="preserve">Work order 50231 for the P-101 seal leak is one record.</t>
  </si>
  <si>
    <t xml:space="preserve">Application; Object (Maximo Business Object / MBO); Status</t>
  </si>
  <si>
    <t xml:space="preserve">record</t>
  </si>
  <si>
    <t xml:space="preserve">M01-012</t>
  </si>
  <si>
    <t xml:space="preserve">Status</t>
  </si>
  <si>
    <t xml:space="preserve">STATUS</t>
  </si>
  <si>
    <t xml:space="preserve">The stage a record is in, which controls what can be done with it next. Most major records have their own list of statuses and many keep a full status history.</t>
  </si>
  <si>
    <t xml:space="preserve">Change Status action in most applications</t>
  </si>
  <si>
    <t xml:space="preserve">Work order 50231 moves from WAPPR to APPR to INPRG to COMP to CLOSE.</t>
  </si>
  <si>
    <t xml:space="preserve">Synonym Domain; Work Order Lifecycle / Status Flow; Work Order Status History</t>
  </si>
  <si>
    <t xml:space="preserve">Status values can be renamed for users (synonyms), but Maximo's logic runs on the internal value underneath.</t>
  </si>
  <si>
    <t xml:space="preserve">status</t>
  </si>
  <si>
    <t xml:space="preserve">M01-013</t>
  </si>
  <si>
    <t xml:space="preserve">Long Description</t>
  </si>
  <si>
    <t xml:space="preserve">A larger free-text field attached to many description fields, used for detailed notes that do not fit in the short description.</t>
  </si>
  <si>
    <t xml:space="preserve">Long description icon next to a Description field</t>
  </si>
  <si>
    <t xml:space="preserve">The work order's short description says 'P-101 seal leaking' and the long description explains when and where it was spotted.</t>
  </si>
  <si>
    <t xml:space="preserve">Work Log; Attachments</t>
  </si>
  <si>
    <t xml:space="preserve">long-description</t>
  </si>
  <si>
    <t xml:space="preserve">M01-014</t>
  </si>
  <si>
    <t xml:space="preserve">Attachments</t>
  </si>
  <si>
    <t xml:space="preserve">DOCLINKS</t>
  </si>
  <si>
    <t xml:space="preserve">Files or URLs linked to a record, like manuals, photos, drawings or permits. Attachments can be organized into folders and copied between records.</t>
  </si>
  <si>
    <t xml:space="preserve">Attachments section on most applications</t>
  </si>
  <si>
    <t xml:space="preserve">The P-101 pump manual PDF is attached to the asset and automatically shows on its work orders.</t>
  </si>
  <si>
    <t xml:space="preserve">Long Description; Work Log</t>
  </si>
  <si>
    <t xml:space="preserve">Older docs refer to this feature as Doclinks.</t>
  </si>
  <si>
    <t xml:space="preserve">attachments</t>
  </si>
  <si>
    <t xml:space="preserve">M01-015</t>
  </si>
  <si>
    <t xml:space="preserve">Work Log</t>
  </si>
  <si>
    <t xml:space="preserve">WORKLOG</t>
  </si>
  <si>
    <t xml:space="preserve">A running set of notes on a record such as a work order or service request, used to record updates, findings and communication over time.</t>
  </si>
  <si>
    <t xml:space="preserve">Log tab or Work Log section</t>
  </si>
  <si>
    <t xml:space="preserve">The mechanic adds a log entry: 'Seal faces scored, replaced with kit 1001-SEAL.'</t>
  </si>
  <si>
    <t xml:space="preserve">work-log</t>
  </si>
  <si>
    <t xml:space="preserve">M01-016</t>
  </si>
  <si>
    <t xml:space="preserve">Query / Saved Query</t>
  </si>
  <si>
    <t xml:space="preserve">A search you save so you can reuse it. Queries filter the list of records in an application and can be shared with other users or used on Start Centers.</t>
  </si>
  <si>
    <t xml:space="preserve">List tab in each application; Save Query action</t>
  </si>
  <si>
    <t xml:space="preserve">Ana saves a query called 'My TP1 backlog' that shows approved work orders at TP1 assigned to the MECH craft.</t>
  </si>
  <si>
    <t xml:space="preserve">Start Center; Result Set</t>
  </si>
  <si>
    <t xml:space="preserve">query-saved-query</t>
  </si>
  <si>
    <t xml:space="preserve">M01-017</t>
  </si>
  <si>
    <t xml:space="preserve">Start Center</t>
  </si>
  <si>
    <t xml:space="preserve">The home page a user sees after logging in. It is made of portlets like result sets, KPIs, bulletin board messages and quick links, and it is assigned through security groups.</t>
  </si>
  <si>
    <t xml:space="preserve">Start Center (home page); Start Center Templates</t>
  </si>
  <si>
    <t xml:space="preserve">Planners at RWA see their backlog, overdue PMs and a KPI for schedule compliance as soon as they log in.</t>
  </si>
  <si>
    <t xml:space="preserve">Result Set; KPI (Key Performance Indicator); Security Group; Work Center</t>
  </si>
  <si>
    <t xml:space="preserve">start-center</t>
  </si>
  <si>
    <t xml:space="preserve">M01-018</t>
  </si>
  <si>
    <t xml:space="preserve">Work Center</t>
  </si>
  <si>
    <t xml:space="preserve">A simplified, role-focused screen in Maximo designed for specific jobs like technician, supervisor or inventory clerk. Work Centers were the first step toward the newer role-based applications.</t>
  </si>
  <si>
    <t xml:space="preserve">Work Centers (from Start Center)</t>
  </si>
  <si>
    <t xml:space="preserve">Role-based Application; Start Center</t>
  </si>
  <si>
    <t xml:space="preserve">Introduced in later 7.6 releases. In MAS, role-based applications built on the Maximo Application Framework carry this idea forward.</t>
  </si>
  <si>
    <t xml:space="preserve">work-center</t>
  </si>
  <si>
    <t xml:space="preserve">M01-019</t>
  </si>
  <si>
    <t xml:space="preserve">Bulletin Board</t>
  </si>
  <si>
    <t xml:space="preserve">A place for posting announcements that show on users' Start Centers, targeted by site, organization or person group.</t>
  </si>
  <si>
    <t xml:space="preserve">Bulletin Board app</t>
  </si>
  <si>
    <t xml:space="preserve">RWA posts 'Intake channel closed for inspection Monday' to all TP1 users.</t>
  </si>
  <si>
    <t xml:space="preserve">Start Center; Communication Template</t>
  </si>
  <si>
    <t xml:space="preserve">bulletin-board</t>
  </si>
  <si>
    <t xml:space="preserve">M02-001</t>
  </si>
  <si>
    <t xml:space="preserve">02 Assets and Locations</t>
  </si>
  <si>
    <t xml:space="preserve">Locations</t>
  </si>
  <si>
    <t xml:space="preserve">Location</t>
  </si>
  <si>
    <t xml:space="preserve">LOCATION</t>
  </si>
  <si>
    <t xml:space="preserve">A place where an asset sits or work happens, defined by its function rather than the equipment in it. A location stays the same even when the asset inside it gets swapped out.</t>
  </si>
  <si>
    <t xml:space="preserve">Locations app</t>
  </si>
  <si>
    <t xml:space="preserve">TP1-INTAKE-PS is the raw water intake pump position. The pump in it can change; the position does not.</t>
  </si>
  <si>
    <t xml:space="preserve">Asset; Location Hierarchy; System (Location System); Location Type</t>
  </si>
  <si>
    <t xml:space="preserve">The classic mix-up: a location is the job the equipment does or the spot it lives in, while an asset is the physical thing you can pick up and move.</t>
  </si>
  <si>
    <t xml:space="preserve">IBM Docs &gt; Maximo Manage &gt; Assets / Locations</t>
  </si>
  <si>
    <t xml:space="preserve">location</t>
  </si>
  <si>
    <t xml:space="preserve">M02-002</t>
  </si>
  <si>
    <t xml:space="preserve">Location Type</t>
  </si>
  <si>
    <t xml:space="preserve">TYPE</t>
  </si>
  <si>
    <t xml:space="preserve">A setting that tells Maximo what a location is used for. Common types include OPERATING, STOREROOM, REPAIR, SALVAGE, VENDOR, COURIER and LABOR.</t>
  </si>
  <si>
    <t xml:space="preserve">Locations app (Type field)</t>
  </si>
  <si>
    <t xml:space="preserve">CENTRAL is a STOREROOM location, TP1-INTAKE-PS is an OPERATING location and REPAIR-SHOP is a REPAIR location.</t>
  </si>
  <si>
    <t xml:space="preserve">Location; Storeroom; Repair Facility</t>
  </si>
  <si>
    <t xml:space="preserve">location-type</t>
  </si>
  <si>
    <t xml:space="preserve">M02-003</t>
  </si>
  <si>
    <t xml:space="preserve">Location Hierarchy</t>
  </si>
  <si>
    <t xml:space="preserve">The parent and child structure of locations that shows how places are organized, from a whole site down to individual equipment positions.</t>
  </si>
  <si>
    <t xml:space="preserve">Locations app, Systems section</t>
  </si>
  <si>
    <t xml:space="preserve">TP1 &gt; TP1-INTAKE &gt; TP1-INTAKE-PS &gt; P-101 position.</t>
  </si>
  <si>
    <t xml:space="preserve">System (Location System); Primary System; Asset Hierarchy</t>
  </si>
  <si>
    <t xml:space="preserve">location-hierarchy</t>
  </si>
  <si>
    <t xml:space="preserve">M02-004</t>
  </si>
  <si>
    <t xml:space="preserve">System (Location System)</t>
  </si>
  <si>
    <t xml:space="preserve">SYSTEMID</t>
  </si>
  <si>
    <t xml:space="preserve">A named hierarchy that locations belong to. One location can belong to several systems, which lets you view the same places from different angles, such as by process or by electrical feed.</t>
  </si>
  <si>
    <t xml:space="preserve">Locations app; Systems action</t>
  </si>
  <si>
    <t xml:space="preserve">TP1 has a PROCESS system that follows how water flows and an ELECTRICAL system that follows the power feeds.</t>
  </si>
  <si>
    <t xml:space="preserve">Location Hierarchy; Primary System; Network (Location Network)</t>
  </si>
  <si>
    <t xml:space="preserve">system-location-system</t>
  </si>
  <si>
    <t xml:space="preserve">M02-005</t>
  </si>
  <si>
    <t xml:space="preserve">Primary System</t>
  </si>
  <si>
    <t xml:space="preserve">The main location hierarchy for a site. Each site has exactly one, and it is the default view of where everything fits.</t>
  </si>
  <si>
    <t xml:space="preserve">Locations app (System field marked Primary)</t>
  </si>
  <si>
    <t xml:space="preserve">PROCESS is RWA TP1's primary system.</t>
  </si>
  <si>
    <t xml:space="preserve">System (Location System); Location Hierarchy</t>
  </si>
  <si>
    <t xml:space="preserve">primary-system</t>
  </si>
  <si>
    <t xml:space="preserve">M02-006</t>
  </si>
  <si>
    <t xml:space="preserve">Network (Location Network)</t>
  </si>
  <si>
    <t xml:space="preserve">A type of location system where a location can have more than one parent, useful for pipe networks or utilities where things connect in more than one direction.</t>
  </si>
  <si>
    <t xml:space="preserve">Locations app (Network systems)</t>
  </si>
  <si>
    <t xml:space="preserve">The DIST water main network lets a valve connect to two upstream mains.</t>
  </si>
  <si>
    <t xml:space="preserve">System (Location System); Linear Asset</t>
  </si>
  <si>
    <t xml:space="preserve">network-location-network</t>
  </si>
  <si>
    <t xml:space="preserve">M02-007</t>
  </si>
  <si>
    <t xml:space="preserve">Repair Facility</t>
  </si>
  <si>
    <t xml:space="preserve">A location of type REPAIR where broken rotating assets are sent to be fixed. Work orders can be raised against the repair facility.</t>
  </si>
  <si>
    <t xml:space="preserve">Locations app; Work Order Tracking (Repair Facility field)</t>
  </si>
  <si>
    <t xml:space="preserve">A failed motor is moved to REPAIR-SHOP, rebuilt, then returned to the CENTRAL storeroom.</t>
  </si>
  <si>
    <t xml:space="preserve">Rotating Asset / Rotating Item; Location Type</t>
  </si>
  <si>
    <t xml:space="preserve">repair-facility</t>
  </si>
  <si>
    <t xml:space="preserve">M02-008</t>
  </si>
  <si>
    <t xml:space="preserve">Assets</t>
  </si>
  <si>
    <t xml:space="preserve">Asset</t>
  </si>
  <si>
    <t xml:space="preserve">ASSETNUM</t>
  </si>
  <si>
    <t xml:space="preserve">A physical piece of equipment or property that you want to track, maintain and cost, like a pump, motor, vehicle or HVAC unit. Each asset has its own history of work, costs, meters and failures.</t>
  </si>
  <si>
    <t xml:space="preserve">Assets app</t>
  </si>
  <si>
    <t xml:space="preserve">P-101 is a 250 HP centrifugal raw water pump. All of its repairs, PMs and costs roll up to this record.</t>
  </si>
  <si>
    <t xml:space="preserve">Location; Asset Hierarchy; Rotating Asset / Rotating Item; Asset Status</t>
  </si>
  <si>
    <t xml:space="preserve">Not everything needs to be an asset. If you will never maintain, cost or report on it individually, tracking it as an asset just adds noise.</t>
  </si>
  <si>
    <t xml:space="preserve">asset</t>
  </si>
  <si>
    <t xml:space="preserve">M02-009</t>
  </si>
  <si>
    <t xml:space="preserve">Asset Hierarchy</t>
  </si>
  <si>
    <t xml:space="preserve">PARENT</t>
  </si>
  <si>
    <t xml:space="preserve">The parent and child relationships between assets, showing what is part of what. Costs can roll up from children to parents.</t>
  </si>
  <si>
    <t xml:space="preserve">Assets app (Parent field; Children view)</t>
  </si>
  <si>
    <t xml:space="preserve">P-101 (pump) is the parent of M-101 (motor) and C-101 (coupling).</t>
  </si>
  <si>
    <t xml:space="preserve">Location Hierarchy; Rolled-up Costs; Asset</t>
  </si>
  <si>
    <t xml:space="preserve">An asset hierarchy and a location hierarchy are separate structures. Many sites build both, and they often look similar but serve different purposes.</t>
  </si>
  <si>
    <t xml:space="preserve">asset-hierarchy</t>
  </si>
  <si>
    <t xml:space="preserve">M02-010</t>
  </si>
  <si>
    <t xml:space="preserve">Asset Status</t>
  </si>
  <si>
    <t xml:space="preserve">The current state of an asset. Common out-of-the-box values include NOT READY, OPERATING and DECOMMISSIONED, and organizations often add synonyms for their own needs.</t>
  </si>
  <si>
    <t xml:space="preserve">Assets app, Change Status action</t>
  </si>
  <si>
    <t xml:space="preserve">When P-101 is installed and commissioned, it moves from NOT READY to OPERATING.</t>
  </si>
  <si>
    <t xml:space="preserve">Asset Downtime; Status</t>
  </si>
  <si>
    <t xml:space="preserve">An asset can be OPERATING while it is down for a repair. Whether it is running right now is tracked separately through downtime reporting.</t>
  </si>
  <si>
    <t xml:space="preserve">asset-status</t>
  </si>
  <si>
    <t xml:space="preserve">M02-011</t>
  </si>
  <si>
    <t xml:space="preserve">Rotating Asset / Rotating Item</t>
  </si>
  <si>
    <t xml:space="preserve">ROTATING</t>
  </si>
  <si>
    <t xml:space="preserve">An item that is stocked in a storeroom but also tracked individually as an asset with its own number and history, because it gets installed, removed, repaired and reused.</t>
  </si>
  <si>
    <t xml:space="preserve">Item Master (Rotating checkbox); Assets app</t>
  </si>
  <si>
    <t xml:space="preserve">Motor M-101 is a rotating item. When it fails it goes to repair, and a spare motor from CENTRAL is installed in its place, each keeping its own history.</t>
  </si>
  <si>
    <t xml:space="preserve">Item Master; Condition Code; Repair Facility; Move / Swap / Modify Assets</t>
  </si>
  <si>
    <t xml:space="preserve">Rotating assets are counted in both the asset register and inventory balances, which surprises people the first time they reconcile numbers.</t>
  </si>
  <si>
    <t xml:space="preserve">rotating-asset-rotating-item</t>
  </si>
  <si>
    <t xml:space="preserve">M02-012</t>
  </si>
  <si>
    <t xml:space="preserve">Move / Swap / Modify Assets</t>
  </si>
  <si>
    <t xml:space="preserve">Actions for moving an asset to another location, swapping one asset for another, or changing its details while keeping its history.</t>
  </si>
  <si>
    <t xml:space="preserve">Assets app, Move/Modify Assets and Swap Asset actions</t>
  </si>
  <si>
    <t xml:space="preserve">Mechanics swap failed motor M-101 with spare M-117. Maximo records both moves and the date of each.</t>
  </si>
  <si>
    <t xml:space="preserve">Rotating Asset / Rotating Item; Asset Status</t>
  </si>
  <si>
    <t xml:space="preserve">move-swap-modify-assets</t>
  </si>
  <si>
    <t xml:space="preserve">M02-013</t>
  </si>
  <si>
    <t xml:space="preserve">Spare Parts (Asset)</t>
  </si>
  <si>
    <t xml:space="preserve">A list of items linked to an asset showing which parts are used to maintain it. It helps planners and technicians know exactly what to pull from stores.</t>
  </si>
  <si>
    <t xml:space="preserve">Assets app, Spare Parts tab</t>
  </si>
  <si>
    <t xml:space="preserve">P-101's spare parts list includes seal kit 1001-SEAL, bearing 2040 and coupling insert 3310.</t>
  </si>
  <si>
    <t xml:space="preserve">Item Master; Job Plan Materials / Labor / Services / Tools</t>
  </si>
  <si>
    <t xml:space="preserve">spare-parts-asset</t>
  </si>
  <si>
    <t xml:space="preserve">M02-014</t>
  </si>
  <si>
    <t xml:space="preserve">Asset Specifications</t>
  </si>
  <si>
    <t xml:space="preserve">Technical attributes stored on an asset, such as horsepower, voltage or flow rate, usually driven by its classification.</t>
  </si>
  <si>
    <t xml:space="preserve">Assets app, Specifications tab</t>
  </si>
  <si>
    <t xml:space="preserve">P-101's specs show 250 HP, 600 V and a rated flow of 900 m3/h.</t>
  </si>
  <si>
    <t xml:space="preserve">Classification; Attribute</t>
  </si>
  <si>
    <t xml:space="preserve">asset-specifications</t>
  </si>
  <si>
    <t xml:space="preserve">M02-015</t>
  </si>
  <si>
    <t xml:space="preserve">Asset Template</t>
  </si>
  <si>
    <t xml:space="preserve">A reusable pattern for creating many similar assets with the same specs, spare parts, meters, PMs and other details.</t>
  </si>
  <si>
    <t xml:space="preserve">Asset Templates app</t>
  </si>
  <si>
    <t xml:space="preserve">RWA builds a template for its standard 40 HP booster pump and creates 12 identical assets for DIST pump stations in one pass.</t>
  </si>
  <si>
    <t xml:space="preserve">Asset; Classification; Preventive Maintenance (PM) Record</t>
  </si>
  <si>
    <t xml:space="preserve">asset-template</t>
  </si>
  <si>
    <t xml:space="preserve">M02-016</t>
  </si>
  <si>
    <t xml:space="preserve">Asset Downtime</t>
  </si>
  <si>
    <t xml:space="preserve">A record of when an asset was not available, captured by reporting it down and back up. Downtime history feeds availability and reliability reporting.</t>
  </si>
  <si>
    <t xml:space="preserve">Assets app or Work Order Tracking, Report Downtime action</t>
  </si>
  <si>
    <t xml:space="preserve">P-101 is reported down at 08:15 for the seal repair and back up at 14:40, logging 6.4 hours of downtime.</t>
  </si>
  <si>
    <t xml:space="preserve">Availability; MTTR (Mean Time to Repair); Asset Status</t>
  </si>
  <si>
    <t xml:space="preserve">asset-downtime</t>
  </si>
  <si>
    <t xml:space="preserve">M02-017</t>
  </si>
  <si>
    <t xml:space="preserve">Rolled-up Costs</t>
  </si>
  <si>
    <t xml:space="preserve">Maintenance costs from child assets and work orders that add up into the parent asset, so you can see the full cost of a system.</t>
  </si>
  <si>
    <t xml:space="preserve">Assets app (Cost section; rollup)</t>
  </si>
  <si>
    <t xml:space="preserve">Repairs to M-101 and C-101 roll up into P-101's total maintenance cost.</t>
  </si>
  <si>
    <t xml:space="preserve">Asset Hierarchy; Planned vs Actual Cost</t>
  </si>
  <si>
    <t xml:space="preserve">rolled-up-costs</t>
  </si>
  <si>
    <t xml:space="preserve">M02-018</t>
  </si>
  <si>
    <t xml:space="preserve">Asset Priority / Criticality</t>
  </si>
  <si>
    <t xml:space="preserve">PRIORITY</t>
  </si>
  <si>
    <t xml:space="preserve">A rating that shows how important an asset is to operations. It is often used with work order priority to decide what gets done first.</t>
  </si>
  <si>
    <t xml:space="preserve">Assets app (Priority field); Maximo Health criticality</t>
  </si>
  <si>
    <t xml:space="preserve">P-101 is priority 1 because the plant cannot take in raw water without it. An office HVAC unit is priority 4.</t>
  </si>
  <si>
    <t xml:space="preserve">Work Order Priority; Calculated Priority; Criticality Analysis</t>
  </si>
  <si>
    <t xml:space="preserve">asset-priority-criticality</t>
  </si>
  <si>
    <t xml:space="preserve">M02-019</t>
  </si>
  <si>
    <t xml:space="preserve">Warranty</t>
  </si>
  <si>
    <t xml:space="preserve">Coverage information tied to an asset showing that repairs may be paid for by a vendor. Maximo can warn users when they create work on an asset under warranty.</t>
  </si>
  <si>
    <t xml:space="preserve">Assets app; Warranty Contracts app</t>
  </si>
  <si>
    <t xml:space="preserve">New motor M-117 is under a two-year manufacturer warranty, so a warning pops up when a work order is created on it.</t>
  </si>
  <si>
    <t xml:space="preserve">Warranty Contract; Purchase Contract</t>
  </si>
  <si>
    <t xml:space="preserve">warranty</t>
  </si>
  <si>
    <t xml:space="preserve">M02-020</t>
  </si>
  <si>
    <t xml:space="preserve">Collection</t>
  </si>
  <si>
    <t xml:space="preserve">A named group of assets, locations and other records, often used to control which records a group of users can see or work on.</t>
  </si>
  <si>
    <t xml:space="preserve">Collections app</t>
  </si>
  <si>
    <t xml:space="preserve">The 'DIST pump stations' collection is used to give the distribution crew access to just their equipment.</t>
  </si>
  <si>
    <t xml:space="preserve">Security Group; Asset; Location</t>
  </si>
  <si>
    <t xml:space="preserve">collection</t>
  </si>
  <si>
    <t xml:space="preserve">M02-021</t>
  </si>
  <si>
    <t xml:space="preserve">Linear Asset</t>
  </si>
  <si>
    <t xml:space="preserve">An asset that is measured along its length, such as a pipeline, road or rail line. Work and features are located by start and end measurements instead of one point.</t>
  </si>
  <si>
    <t xml:space="preserve">Assets app with Maximo Linear capabilities</t>
  </si>
  <si>
    <t xml:space="preserve">Water main WM-0450 runs 2.3 km. A leak repair is recorded from 1.12 km to 1.15 km.</t>
  </si>
  <si>
    <t xml:space="preserve">Network (Location Network); Maximo Spatial</t>
  </si>
  <si>
    <t xml:space="preserve">linear-asset</t>
  </si>
  <si>
    <t xml:space="preserve">M02-022</t>
  </si>
  <si>
    <t xml:space="preserve">Classifications</t>
  </si>
  <si>
    <t xml:space="preserve">Classification</t>
  </si>
  <si>
    <t xml:space="preserve">CLASSSTRUCTUREID</t>
  </si>
  <si>
    <t xml:space="preserve">A way of categorizing records into a hierarchy, such as PUMP &gt; CENTRIFUGAL. Each class can carry its own set of attributes so similar things are described the same way.</t>
  </si>
  <si>
    <t xml:space="preserve">Classifications app</t>
  </si>
  <si>
    <t xml:space="preserve">P-101 is classified as PUMP \ CENTRIFUGAL \ HORIZONTAL SPLIT CASE, which brings in attributes like HP, flow and head.</t>
  </si>
  <si>
    <t xml:space="preserve">Attribute; Asset Specifications</t>
  </si>
  <si>
    <t xml:space="preserve">Good classifications are what make reporting work later. Skipping them early on is one of the most common data quality regrets.</t>
  </si>
  <si>
    <t xml:space="preserve">classification</t>
  </si>
  <si>
    <t xml:space="preserve">M02-023</t>
  </si>
  <si>
    <t xml:space="preserve">Attribute</t>
  </si>
  <si>
    <t xml:space="preserve">ASSETATTRID</t>
  </si>
  <si>
    <t xml:space="preserve">A single characteristic, like horsepower or voltage, defined once and reused across classifications and records.</t>
  </si>
  <si>
    <t xml:space="preserve">Attributes app; Classifications app</t>
  </si>
  <si>
    <t xml:space="preserve">The attribute RATED_HP is used on pumps, motors and blowers.</t>
  </si>
  <si>
    <t xml:space="preserve">Classification; Asset Specifications</t>
  </si>
  <si>
    <t xml:space="preserve">attribute</t>
  </si>
  <si>
    <t xml:space="preserve">M02-024</t>
  </si>
  <si>
    <t xml:space="preserve">Failure reporting</t>
  </si>
  <si>
    <t xml:space="preserve">Failure Code / Failure Class</t>
  </si>
  <si>
    <t xml:space="preserve">FAILURECODE</t>
  </si>
  <si>
    <t xml:space="preserve">A structured hierarchy used to record why something failed. It runs from failure class to problem to cause to remedy.</t>
  </si>
  <si>
    <t xml:space="preserve">Failure Codes app; Work Order Tracking, Failure Reporting tab</t>
  </si>
  <si>
    <t xml:space="preserve">PUMPS (class) &gt; LEAKING (problem) &gt; SEAL WORN (cause) &gt; REPLACE SEAL (remedy).</t>
  </si>
  <si>
    <t xml:space="preserve">Problem / Cause / Remedy; Reliability-Centered Maintenance (RCM); MTBF (Mean Time Between Failures)</t>
  </si>
  <si>
    <t xml:space="preserve">Free-text explanations do not count. Without consistent failure codes, nobody can trend failures later.</t>
  </si>
  <si>
    <t xml:space="preserve">failure-code-failure-class</t>
  </si>
  <si>
    <t xml:space="preserve">M02-025</t>
  </si>
  <si>
    <t xml:space="preserve">Problem / Cause / Remedy</t>
  </si>
  <si>
    <t xml:space="preserve">The three levels below a failure class. Problem is what was observed, cause is why it happened and remedy is what fixed it.</t>
  </si>
  <si>
    <t xml:space="preserve">Work Order Tracking, Failure Reporting tab</t>
  </si>
  <si>
    <t xml:space="preserve">Problem: LEAKING. Cause: SEAL WORN. Remedy: REPLACE SEAL.</t>
  </si>
  <si>
    <t xml:space="preserve">problem-cause-remedy</t>
  </si>
  <si>
    <t xml:space="preserve">M02-026</t>
  </si>
  <si>
    <t xml:space="preserve">Meters</t>
  </si>
  <si>
    <t xml:space="preserve">Meter</t>
  </si>
  <si>
    <t xml:space="preserve">METERNAME</t>
  </si>
  <si>
    <t xml:space="preserve">A defined measurement that can be attached to assets or locations to record usage or condition over time.</t>
  </si>
  <si>
    <t xml:space="preserve">Meters app; Assets app, Meters tab</t>
  </si>
  <si>
    <t xml:space="preserve">P-101 has meters for RUNHOURS, VIBRATION and OIL-CONDITION.</t>
  </si>
  <si>
    <t xml:space="preserve">Meter Reading; Meter-based Frequency; Condition Monitoring / Measurement Point</t>
  </si>
  <si>
    <t xml:space="preserve">meter</t>
  </si>
  <si>
    <t xml:space="preserve">M02-027</t>
  </si>
  <si>
    <t xml:space="preserve">Meter Type: Continuous / Gauge / Characteristic</t>
  </si>
  <si>
    <t xml:space="preserve">METERTYPE</t>
  </si>
  <si>
    <t xml:space="preserve">Continuous meters count upward over time (run hours, km). Gauge meters measure a level that goes up and down (temperature, pressure, vibration). Characteristic meters record a value from a list (oil color: CLEAR, CLOUDY, DARK).</t>
  </si>
  <si>
    <t xml:space="preserve">Meters app (Meter Type)</t>
  </si>
  <si>
    <t xml:space="preserve">RUNHOURS is continuous, VIBRATION is gauge and OIL-CONDITION is characteristic.</t>
  </si>
  <si>
    <t xml:space="preserve">Meter; Meter Reading</t>
  </si>
  <si>
    <t xml:space="preserve">Only continuous meters can trigger usage-based PMs. Gauge and characteristic readings drive condition monitoring instead.</t>
  </si>
  <si>
    <t xml:space="preserve">meter-type-continuous-gauge-characteristic</t>
  </si>
  <si>
    <t xml:space="preserve">M02-028</t>
  </si>
  <si>
    <t xml:space="preserve">Meter Group</t>
  </si>
  <si>
    <t xml:space="preserve">A set of meters bundled together so they can be added to an asset in one step.</t>
  </si>
  <si>
    <t xml:space="preserve">Meter Groups app</t>
  </si>
  <si>
    <t xml:space="preserve">The PUMP-STD meter group adds RUNHOURS, VIBRATION and BEARING-TEMP to every new pump.</t>
  </si>
  <si>
    <t xml:space="preserve">Meter; Asset Template</t>
  </si>
  <si>
    <t xml:space="preserve">meter-group</t>
  </si>
  <si>
    <t xml:space="preserve">M02-029</t>
  </si>
  <si>
    <t xml:space="preserve">Meter Reading</t>
  </si>
  <si>
    <t xml:space="preserve">A single value entered or received for a meter at a point in time. Readings can be entered manually, on a work order or through integration.</t>
  </si>
  <si>
    <t xml:space="preserve">Assets app, Enter Meter Readings action; Maximo Mobile</t>
  </si>
  <si>
    <t xml:space="preserve">An operator enters 14,212 run hours for P-101 on Monday's round.</t>
  </si>
  <si>
    <t xml:space="preserve">meter-reading</t>
  </si>
  <si>
    <t xml:space="preserve">M02-030</t>
  </si>
  <si>
    <t xml:space="preserve">Condition Monitoring / Measurement Point</t>
  </si>
  <si>
    <t xml:space="preserve">POINTNUM</t>
  </si>
  <si>
    <t xml:space="preserve">Setting upper and lower limits on gauge or characteristic readings so that Maximo creates a work order when a value goes out of range.</t>
  </si>
  <si>
    <t xml:space="preserve">Condition Monitoring app</t>
  </si>
  <si>
    <t xml:space="preserve">If P-101 vibration exceeds 7.1 mm/s, Maximo automatically raises an inspection work order.</t>
  </si>
  <si>
    <t xml:space="preserve">Meter Type: Continuous / Gauge / Characteristic; Condition-based Maintenance (CBM); Maximo Monitor</t>
  </si>
  <si>
    <t xml:space="preserve">condition-monitoring-measurement-point</t>
  </si>
  <si>
    <t xml:space="preserve">M03-001</t>
  </si>
  <si>
    <t xml:space="preserve">03 Work Management</t>
  </si>
  <si>
    <t xml:space="preserve">Requests</t>
  </si>
  <si>
    <t xml:space="preserve">Service Request</t>
  </si>
  <si>
    <t xml:space="preserve">SR</t>
  </si>
  <si>
    <t xml:space="preserve">A request from anyone in the organization saying something needs attention. A service request is not yet approved work; it gets reviewed and, if valid, turned into a work order.</t>
  </si>
  <si>
    <t xml:space="preserve">Service Requests app; Create Service Request (self-service)</t>
  </si>
  <si>
    <t xml:space="preserve">An operator notices water pooling under P-101 and submits a service request from her phone.</t>
  </si>
  <si>
    <t xml:space="preserve">Work Order; Ticket Template; Self-Service Request</t>
  </si>
  <si>
    <t xml:space="preserve">Service requests and work orders are not the same thing. A request is someone asking; a work order is the business agreeing to do the work.</t>
  </si>
  <si>
    <t xml:space="preserve">IBM Docs &gt; Maximo Manage &gt; Work management</t>
  </si>
  <si>
    <t xml:space="preserve">service-request</t>
  </si>
  <si>
    <t xml:space="preserve">M03-002</t>
  </si>
  <si>
    <t xml:space="preserve">Self-Service Request</t>
  </si>
  <si>
    <t xml:space="preserve">A simplified screen where people without full Maximo training can submit and track their own requests.</t>
  </si>
  <si>
    <t xml:space="preserve">Create Service Request and View Service Requests apps</t>
  </si>
  <si>
    <t xml:space="preserve">An office worker at head office reports a broken door lock without learning the full Service Requests app.</t>
  </si>
  <si>
    <t xml:space="preserve">self-service-request</t>
  </si>
  <si>
    <t xml:space="preserve">M03-003</t>
  </si>
  <si>
    <t xml:space="preserve">Ticket Template</t>
  </si>
  <si>
    <t xml:space="preserve">A preset that fills in common details on service requests or incidents, such as classification, owner group and description.</t>
  </si>
  <si>
    <t xml:space="preserve">Ticket Templates app</t>
  </si>
  <si>
    <t xml:space="preserve">A 'Water leak' template fills in classification LEAK, owner group TP1-SUPV and priority 2.</t>
  </si>
  <si>
    <t xml:space="preserve">Service Request; Classification</t>
  </si>
  <si>
    <t xml:space="preserve">ticket-template</t>
  </si>
  <si>
    <t xml:space="preserve">M03-004</t>
  </si>
  <si>
    <t xml:space="preserve">Work orders</t>
  </si>
  <si>
    <t xml:space="preserve">Work Order</t>
  </si>
  <si>
    <t xml:space="preserve">WONUM</t>
  </si>
  <si>
    <t xml:space="preserve">The record that authorizes, plans, tracks and costs a piece of maintenance work. It holds what needs doing, on which asset or location, who does it, what parts and tools are needed and what it actually cost.</t>
  </si>
  <si>
    <t xml:space="preserve">Work Order Tracking app</t>
  </si>
  <si>
    <t xml:space="preserve">Work order 50231: replace mechanical seal on P-101, priority 1, MECH craft, 4 planned hours.</t>
  </si>
  <si>
    <t xml:space="preserve">Work Order Lifecycle / Status Flow; Job Plan; Plans Tab (Planned Work); Actuals Tab; Work Type</t>
  </si>
  <si>
    <t xml:space="preserve">work-order</t>
  </si>
  <si>
    <t xml:space="preserve">M03-005</t>
  </si>
  <si>
    <t xml:space="preserve">Work Order Lifecycle / Status Flow</t>
  </si>
  <si>
    <t xml:space="preserve">WOSTATUS</t>
  </si>
  <si>
    <t xml:space="preserve">The path a work order follows from creation to closure. A common flow is WAPPR (waiting on approval) &gt; APPR (approved) &gt; INPRG (in progress) &gt; COMP (complete) &gt; CLOSE (closed). Other common values include WMATL (waiting on material), WSCH (waiting to be scheduled), WPCOND (waiting on plant conditions) and CAN (cancelled).</t>
  </si>
  <si>
    <t xml:space="preserve">Work Order Tracking, Change Status action</t>
  </si>
  <si>
    <t xml:space="preserve">WO 50231 is created WAPPR, approved APPR, goes WMATL until the seal kit arrives, then INPRG, COMP and finally CLOSE.</t>
  </si>
  <si>
    <t xml:space="preserve">Status; Synonym Domain; Work Order</t>
  </si>
  <si>
    <t xml:space="preserve">COMP and CLOSE are not the same. COMP means the work is done; CLOSE locks the record so costs and details can no longer change.</t>
  </si>
  <si>
    <t xml:space="preserve">work-order-lifecycle-status-flow</t>
  </si>
  <si>
    <t xml:space="preserve">M03-006</t>
  </si>
  <si>
    <t xml:space="preserve">Work Type</t>
  </si>
  <si>
    <t xml:space="preserve">WORKTYPE</t>
  </si>
  <si>
    <t xml:space="preserve">A code that classifies the kind of work. Common examples are CM (corrective), PM (preventive), EM (emergency), CP (capital project) and EV (event). Each organization usually adjusts this list.</t>
  </si>
  <si>
    <t xml:space="preserve">Work Types (Organizations app); Work Order Tracking</t>
  </si>
  <si>
    <t xml:space="preserve">The seal replacement is CM. The quarterly pump inspection is PM.</t>
  </si>
  <si>
    <t xml:space="preserve">Work Order; Preventive Maintenance (PM) Record; KPI (Key Performance Indicator)</t>
  </si>
  <si>
    <t xml:space="preserve">Work type is how you later measure your planned vs reactive ratio, so inconsistent use ruins that reporting.</t>
  </si>
  <si>
    <t xml:space="preserve">work-type</t>
  </si>
  <si>
    <t xml:space="preserve">M03-007</t>
  </si>
  <si>
    <t xml:space="preserve">Work Order Priority</t>
  </si>
  <si>
    <t xml:space="preserve">WOPRIORITY</t>
  </si>
  <si>
    <t xml:space="preserve">A number that tells people how urgent the work is. Many organizations combine it with asset priority to calculate an overall priority.</t>
  </si>
  <si>
    <t xml:space="preserve">Work Order Tracking (Priority field)</t>
  </si>
  <si>
    <t xml:space="preserve">Seal leak WO 50231 is priority 1; repainting the pump room floor is priority 5.</t>
  </si>
  <si>
    <t xml:space="preserve">Asset Priority / Criticality; Calculated Priority</t>
  </si>
  <si>
    <t xml:space="preserve">work-order-priority</t>
  </si>
  <si>
    <t xml:space="preserve">M03-008</t>
  </si>
  <si>
    <t xml:space="preserve">Calculated Priority</t>
  </si>
  <si>
    <t xml:space="preserve">CALCPRIORITY</t>
  </si>
  <si>
    <t xml:space="preserve">An overall priority that Maximo can work out by combining work order priority and asset or location priority using a formula you set up.</t>
  </si>
  <si>
    <t xml:space="preserve">Organizations app (Work Order Options); Work Order Tracking</t>
  </si>
  <si>
    <t xml:space="preserve">WO priority 2 on priority 1 asset P-101 scores higher than WO priority 1 on a priority 5 office fan.</t>
  </si>
  <si>
    <t xml:space="preserve">Asset Priority / Criticality; Work Order Priority</t>
  </si>
  <si>
    <t xml:space="preserve">calculated-priority</t>
  </si>
  <si>
    <t xml:space="preserve">M03-009</t>
  </si>
  <si>
    <t xml:space="preserve">Plans Tab (Planned Work)</t>
  </si>
  <si>
    <t xml:space="preserve">The section of a work order that holds what is expected: tasks, labor, materials, services and tools. Plans are often copied in from a job plan.</t>
  </si>
  <si>
    <t xml:space="preserve">Work Order Tracking, Plans tab</t>
  </si>
  <si>
    <t xml:space="preserve">WO 50231 plans 1 MECH for 4 hours, one 1001-SEAL kit and a torque wrench.</t>
  </si>
  <si>
    <t xml:space="preserve">Job Plan; Actuals Tab; Work Order Estimate / Estimated Cost</t>
  </si>
  <si>
    <t xml:space="preserve">plans-tab-planned-work</t>
  </si>
  <si>
    <t xml:space="preserve">M03-010</t>
  </si>
  <si>
    <t xml:space="preserve">Actuals Tab</t>
  </si>
  <si>
    <t xml:space="preserve">The section of a work order that records what really happened: labor hours, materials issued, services received and tools used. Actuals drive the real cost of work.</t>
  </si>
  <si>
    <t xml:space="preserve">Work Order Tracking, Actuals tab</t>
  </si>
  <si>
    <t xml:space="preserve">The mechanic records 5.5 actual hours and one seal kit, so actual cost is higher than the 4 hours planned.</t>
  </si>
  <si>
    <t xml:space="preserve">Plans Tab (Planned Work); Labor Reporting; Inventory Usage</t>
  </si>
  <si>
    <t xml:space="preserve">actuals-tab</t>
  </si>
  <si>
    <t xml:space="preserve">M03-011</t>
  </si>
  <si>
    <t xml:space="preserve">Task (Work Order Task)</t>
  </si>
  <si>
    <t xml:space="preserve">TASKID</t>
  </si>
  <si>
    <t xml:space="preserve">A step inside a work order. Tasks can have their own status, labor and materials, and can be linked so one must finish before another starts.</t>
  </si>
  <si>
    <t xml:space="preserve">Work Order Tracking, Plans tab, Tasks</t>
  </si>
  <si>
    <t xml:space="preserve">Task 10: lock out pump. Task 20: drain casing. Task 30: replace seal. Task 40: test and return to service.</t>
  </si>
  <si>
    <t xml:space="preserve">Job Plan; Child Work Order / Work Package</t>
  </si>
  <si>
    <t xml:space="preserve">task-work-order-task</t>
  </si>
  <si>
    <t xml:space="preserve">M03-012</t>
  </si>
  <si>
    <t xml:space="preserve">Child Work Order / Work Package</t>
  </si>
  <si>
    <t xml:space="preserve">A work order that sits under another work order. Parent work orders group related work so it can be planned and costed together.</t>
  </si>
  <si>
    <t xml:space="preserve">Work Order Tracking, Plans tab, Children</t>
  </si>
  <si>
    <t xml:space="preserve">Parent WO 50400 'TP1 annual shutdown' has 37 child work orders under it.</t>
  </si>
  <si>
    <t xml:space="preserve">child-work-order-work-package</t>
  </si>
  <si>
    <t xml:space="preserve">M03-013</t>
  </si>
  <si>
    <t xml:space="preserve">Follow-up Work Order</t>
  </si>
  <si>
    <t xml:space="preserve">A new work order created from an existing one when a technician finds more work that needs doing later.</t>
  </si>
  <si>
    <t xml:space="preserve">Work Order Tracking, Create &gt; Follow-up Work Order</t>
  </si>
  <si>
    <t xml:space="preserve">During the seal job, the mechanic sees corrosion on the baseplate and raises follow-up WO 50238.</t>
  </si>
  <si>
    <t xml:space="preserve">Related Records; Work Order</t>
  </si>
  <si>
    <t xml:space="preserve">follow-up-work-order</t>
  </si>
  <si>
    <t xml:space="preserve">M03-014</t>
  </si>
  <si>
    <t xml:space="preserve">Related Records</t>
  </si>
  <si>
    <t xml:space="preserve">Links between work orders, service requests and other tickets so people can see how pieces of work connect.</t>
  </si>
  <si>
    <t xml:space="preserve">Related Records tab</t>
  </si>
  <si>
    <t xml:space="preserve">SR 3412 (water pooling) is related to WO 50231 (seal replacement) and follow-up WO 50238.</t>
  </si>
  <si>
    <t xml:space="preserve">Service Request; Follow-up Work Order</t>
  </si>
  <si>
    <t xml:space="preserve">related-records</t>
  </si>
  <si>
    <t xml:space="preserve">M03-015</t>
  </si>
  <si>
    <t xml:space="preserve">Work Order Estimate / Estimated Cost</t>
  </si>
  <si>
    <t xml:space="preserve">The expected cost of a work order based on planned labor, materials, services and tools. Many organizations use it for approval limits.</t>
  </si>
  <si>
    <t xml:space="preserve">Work Order Tracking, View Costs action</t>
  </si>
  <si>
    <t xml:space="preserve">Estimated cost on WO 50231 is $1,180 and the supervisor's approval limit is $5,000, so he can approve it.</t>
  </si>
  <si>
    <t xml:space="preserve">Plans Tab (Planned Work); Approval Limit / Tolerance; Planned vs Actual Cost</t>
  </si>
  <si>
    <t xml:space="preserve">work-order-estimate-estimated-cost</t>
  </si>
  <si>
    <t xml:space="preserve">M03-016</t>
  </si>
  <si>
    <t xml:space="preserve">Quick Reporting</t>
  </si>
  <si>
    <t xml:space="preserve">A fast way to create and complete simple, unplanned work in one step, recording labor, materials and failure codes together.</t>
  </si>
  <si>
    <t xml:space="preserve">Quick Reporting app</t>
  </si>
  <si>
    <t xml:space="preserve">A tech tightens a loose guard on P-102, logs 0.5 hours and closes it out in under a minute.</t>
  </si>
  <si>
    <t xml:space="preserve">Work Order; Actuals Tab</t>
  </si>
  <si>
    <t xml:space="preserve">quick-reporting</t>
  </si>
  <si>
    <t xml:space="preserve">M03-017</t>
  </si>
  <si>
    <t xml:space="preserve">Work Order Status History</t>
  </si>
  <si>
    <t xml:space="preserve">A record of every status change on a work order, with who changed it and when. It is useful for audits and measuring things like time to approve.</t>
  </si>
  <si>
    <t xml:space="preserve">Work Order Tracking, View Status History</t>
  </si>
  <si>
    <t xml:space="preserve">History shows WO 50231 spent 18 hours in WMATL waiting for the seal kit.</t>
  </si>
  <si>
    <t xml:space="preserve">Status; KPI (Key Performance Indicator)</t>
  </si>
  <si>
    <t xml:space="preserve">work-order-status-history</t>
  </si>
  <si>
    <t xml:space="preserve">M03-018</t>
  </si>
  <si>
    <t xml:space="preserve">Work Order Generated by PM</t>
  </si>
  <si>
    <t xml:space="preserve">PMNUM</t>
  </si>
  <si>
    <t xml:space="preserve">A work order created automatically from a preventive maintenance record when it comes due.</t>
  </si>
  <si>
    <t xml:space="preserve">Work Order Tracking (PM field)</t>
  </si>
  <si>
    <t xml:space="preserve">WO 50300 was generated from PM-P101-QTR for P-101's quarterly inspection.</t>
  </si>
  <si>
    <t xml:space="preserve">Preventive Maintenance (PM) Record; Job Plan; Work Type</t>
  </si>
  <si>
    <t xml:space="preserve">work-order-generated-by-pm</t>
  </si>
  <si>
    <t xml:space="preserve">M03-019</t>
  </si>
  <si>
    <t xml:space="preserve">Emergency Work Order</t>
  </si>
  <si>
    <t xml:space="preserve">Unplanned work that has to happen immediately. Often created with a special work type and allowed to skip normal approval steps.</t>
  </si>
  <si>
    <t xml:space="preserve">Work Order Tracking (often with Work Type EM)</t>
  </si>
  <si>
    <t xml:space="preserve">A main break at DIST gets an EM work order and goes straight to INPRG.</t>
  </si>
  <si>
    <t xml:space="preserve">Work Type; Work Order Priority</t>
  </si>
  <si>
    <t xml:space="preserve">emergency-work-order</t>
  </si>
  <si>
    <t xml:space="preserve">M03-020</t>
  </si>
  <si>
    <t xml:space="preserve">Work Order Classification</t>
  </si>
  <si>
    <t xml:space="preserve">Using classifications on work orders to categorize the type of job, which makes searching and reporting cleaner.</t>
  </si>
  <si>
    <t xml:space="preserve">Work Order Tracking (Classification field); Classifications app</t>
  </si>
  <si>
    <t xml:space="preserve">WO 50231 is classified MECHANICAL \ SEAL.</t>
  </si>
  <si>
    <t xml:space="preserve">Classification; Failure Code / Failure Class</t>
  </si>
  <si>
    <t xml:space="preserve">work-order-classification</t>
  </si>
  <si>
    <t xml:space="preserve">M03-021</t>
  </si>
  <si>
    <t xml:space="preserve">Downtime on Work Order</t>
  </si>
  <si>
    <t xml:space="preserve">Reporting an asset down and back up directly from a work order so the outage is tied to the work that caused it.</t>
  </si>
  <si>
    <t xml:space="preserve">Work Order Tracking, Report Downtime action</t>
  </si>
  <si>
    <t xml:space="preserve">P-101 downtime of 6.4 hours is linked to WO 50231.</t>
  </si>
  <si>
    <t xml:space="preserve">Asset Downtime; Availability</t>
  </si>
  <si>
    <t xml:space="preserve">downtime-on-work-order</t>
  </si>
  <si>
    <t xml:space="preserve">M03-022</t>
  </si>
  <si>
    <t xml:space="preserve">Execution</t>
  </si>
  <si>
    <t xml:space="preserve">Labor Reporting</t>
  </si>
  <si>
    <t xml:space="preserve">Recording the hours people spent on work orders, either from the work order or in bulk from a separate application.</t>
  </si>
  <si>
    <t xml:space="preserve">Labor Reporting app; Work Order Tracking, Actuals tab</t>
  </si>
  <si>
    <t xml:space="preserve">A supervisor enters a full day of crew hours across six work orders at once.</t>
  </si>
  <si>
    <t xml:space="preserve">Actuals Tab; Labor; Craft; Labor Rate</t>
  </si>
  <si>
    <t xml:space="preserve">labor-reporting</t>
  </si>
  <si>
    <t xml:space="preserve">M03-023</t>
  </si>
  <si>
    <t xml:space="preserve">Assignment</t>
  </si>
  <si>
    <t xml:space="preserve">A link between a person or labor record and a task or work order for a scheduled time.</t>
  </si>
  <si>
    <t xml:space="preserve">Assignment Manager; Graphical Assignment</t>
  </si>
  <si>
    <t xml:space="preserve">Mechanic Dev Patel is assigned WO 50231 for Tuesday 08:00 to 12:00.</t>
  </si>
  <si>
    <t xml:space="preserve">Labor; Planning vs Scheduling; Dispatching</t>
  </si>
  <si>
    <t xml:space="preserve">assignment</t>
  </si>
  <si>
    <t xml:space="preserve">M03-024</t>
  </si>
  <si>
    <t xml:space="preserve">Dispatching</t>
  </si>
  <si>
    <t xml:space="preserve">Sending scheduled work to the people who will do it, often with the assignments pushed to mobile devices.</t>
  </si>
  <si>
    <t xml:space="preserve">Graphical Assignment; Maximo Mobile</t>
  </si>
  <si>
    <t xml:space="preserve">Tuesday's assignments are dispatched to each tech's tablet at 06:30.</t>
  </si>
  <si>
    <t xml:space="preserve">Assignment; Planning vs Scheduling; Maximo Mobile</t>
  </si>
  <si>
    <t xml:space="preserve">dispatching</t>
  </si>
  <si>
    <t xml:space="preserve">M03-025</t>
  </si>
  <si>
    <t xml:space="preserve">Backlog</t>
  </si>
  <si>
    <t xml:space="preserve">All approved work that has not been completed yet. Maintenance teams track backlog in weeks of crew capacity to know if they are keeping up.</t>
  </si>
  <si>
    <t xml:space="preserve">Work Order Tracking query; Start Center result sets</t>
  </si>
  <si>
    <t xml:space="preserve">TP1 has 620 hours of approved MECH backlog and 3 mechanics, so about 5 weeks of backlog.</t>
  </si>
  <si>
    <t xml:space="preserve">Planning vs Scheduling; KPI (Key Performance Indicator)</t>
  </si>
  <si>
    <t xml:space="preserve">backlog</t>
  </si>
  <si>
    <t xml:space="preserve">M03-026</t>
  </si>
  <si>
    <t xml:space="preserve">Inspection</t>
  </si>
  <si>
    <t xml:space="preserve">A structured check of an asset or location using a form with questions, readings and photos. Results can create follow-up work.</t>
  </si>
  <si>
    <t xml:space="preserve">Inspection Forms; Maximo Mobile Inspections</t>
  </si>
  <si>
    <t xml:space="preserve">An operator walks the intake, answering 12 inspection questions and taking a photo of the screen.</t>
  </si>
  <si>
    <t xml:space="preserve">Inspection Form; Maximo Mobile; Condition Monitoring / Measurement Point</t>
  </si>
  <si>
    <t xml:space="preserve">inspection</t>
  </si>
  <si>
    <t xml:space="preserve">M03-027</t>
  </si>
  <si>
    <t xml:space="preserve">Inspection Form</t>
  </si>
  <si>
    <t xml:space="preserve">The template for an inspection, made up of questions, response types, meter readings and conditional logic.</t>
  </si>
  <si>
    <t xml:space="preserve">Inspection Forms app (MAS)</t>
  </si>
  <si>
    <t xml:space="preserve">The 'Daily Intake Round' form has yes/no, numeric and photo questions.</t>
  </si>
  <si>
    <t xml:space="preserve">Inspection; Maximo Mobile</t>
  </si>
  <si>
    <t xml:space="preserve">Introduced in later 7.6.1 releases and expanded in MAS through Maximo Mobile Inspections.</t>
  </si>
  <si>
    <t xml:space="preserve">inspection-form</t>
  </si>
  <si>
    <t xml:space="preserve">M04-001</t>
  </si>
  <si>
    <t xml:space="preserve">04 Planning: Job Plans, PMs, Routes and Safety</t>
  </si>
  <si>
    <t xml:space="preserve">Job plans</t>
  </si>
  <si>
    <t xml:space="preserve">Job Plan</t>
  </si>
  <si>
    <t xml:space="preserve">JPNUM</t>
  </si>
  <si>
    <t xml:space="preserve">A reusable recipe for a type of work. It lists the tasks, labor, materials, services and tools needed, so planners do not rebuild the same plan every time.</t>
  </si>
  <si>
    <t xml:space="preserve">Job Plans app</t>
  </si>
  <si>
    <t xml:space="preserve">JP-SEAL-CENT is the standard plan for replacing a mechanical seal on a centrifugal pump.</t>
  </si>
  <si>
    <t xml:space="preserve">Work Order; Preventive Maintenance (PM) Record; Task (Work Order Task); Nested Job Plan</t>
  </si>
  <si>
    <t xml:space="preserve">A job plan is not a schedule. It describes how to do the work; a PM decides when.</t>
  </si>
  <si>
    <t xml:space="preserve">IBM Docs &gt; Maximo Manage &gt; Planning / Preventive maintenance</t>
  </si>
  <si>
    <t xml:space="preserve">job-plan</t>
  </si>
  <si>
    <t xml:space="preserve">M04-002</t>
  </si>
  <si>
    <t xml:space="preserve">Job Plan Status</t>
  </si>
  <si>
    <t xml:space="preserve">Job plans have statuses such as DRAFT, ACTIVE, INACTIVE and PNDREV (pending revision). Only active job plans can be applied to work orders.</t>
  </si>
  <si>
    <t xml:space="preserve">Job Plans app, Change Status</t>
  </si>
  <si>
    <t xml:space="preserve">JP-SEAL-CENT is ACTIVE. A new version is being written in PNDREV.</t>
  </si>
  <si>
    <t xml:space="preserve">Job Plan Revision</t>
  </si>
  <si>
    <t xml:space="preserve">job-plan-status</t>
  </si>
  <si>
    <t xml:space="preserve">M04-003</t>
  </si>
  <si>
    <t xml:space="preserve">Creating a new version of a job plan while keeping the old one, so changes are controlled and history is kept.</t>
  </si>
  <si>
    <t xml:space="preserve">Job Plans app, Revise Job Plan action</t>
  </si>
  <si>
    <t xml:space="preserve">After a near miss, RWA revises JP-SEAL-CENT to add a second lockout check, creating revision 2.</t>
  </si>
  <si>
    <t xml:space="preserve">job-plan-revision</t>
  </si>
  <si>
    <t xml:space="preserve">M04-004</t>
  </si>
  <si>
    <t xml:space="preserve">Nested Job Plan</t>
  </si>
  <si>
    <t xml:space="preserve">A job plan used as a task inside another job plan, so common steps can be reused.</t>
  </si>
  <si>
    <t xml:space="preserve">Job Plans app (Nested Job Plan field on a task)</t>
  </si>
  <si>
    <t xml:space="preserve">JP-LOTO-PUMP (lockout steps) is nested inside both JP-SEAL-CENT and JP-BEARING-CENT.</t>
  </si>
  <si>
    <t xml:space="preserve">Job Plan; Task (Work Order Task)</t>
  </si>
  <si>
    <t xml:space="preserve">nested-job-plan</t>
  </si>
  <si>
    <t xml:space="preserve">M04-005</t>
  </si>
  <si>
    <t xml:space="preserve">Job Plan Materials / Labor / Services / Tools</t>
  </si>
  <si>
    <t xml:space="preserve">The four kinds of resources a job plan can list. They copy onto the work order's Plans tab when the job plan is applied.</t>
  </si>
  <si>
    <t xml:space="preserve">Job Plans app, Labor, Materials, Services and Tools tabs</t>
  </si>
  <si>
    <t xml:space="preserve">JP-SEAL-CENT lists 1 MECH for 4 hours, 1 seal kit 1001-SEAL, and a seal installation tool.</t>
  </si>
  <si>
    <t xml:space="preserve">Plans Tab (Planned Work); Item; Craft; Tool</t>
  </si>
  <si>
    <t xml:space="preserve">job-plan-materials-labor-services-tools</t>
  </si>
  <si>
    <t xml:space="preserve">M04-006</t>
  </si>
  <si>
    <t xml:space="preserve">Preventive maintenance</t>
  </si>
  <si>
    <t xml:space="preserve">Preventive Maintenance (PM) Record</t>
  </si>
  <si>
    <t xml:space="preserve">A record that automatically creates work orders on a schedule based on time, usage or both. It answers 'when should this work happen?'</t>
  </si>
  <si>
    <t xml:space="preserve">Preventive Maintenance app</t>
  </si>
  <si>
    <t xml:space="preserve">PM-P101-QTR creates an inspection work order on P-101 every 3 months using JP-INSP-PUMP.</t>
  </si>
  <si>
    <t xml:space="preserve">Job Plan; Time-based Frequency; Work Order Generation (PM); Lead Time (PM)</t>
  </si>
  <si>
    <t xml:space="preserve">preventive-maintenance-pm-record</t>
  </si>
  <si>
    <t xml:space="preserve">M04-007</t>
  </si>
  <si>
    <t xml:space="preserve">Time-based Frequency</t>
  </si>
  <si>
    <t xml:space="preserve">A PM schedule driven by calendar time, such as every 30 days, 3 months or 1 year.</t>
  </si>
  <si>
    <t xml:space="preserve">Preventive Maintenance app, Frequency tab</t>
  </si>
  <si>
    <t xml:space="preserve">PM-P101-QTR runs every 3 months.</t>
  </si>
  <si>
    <t xml:space="preserve">Preventive Maintenance (PM) Record; Meter-based Frequency; Fixed vs Floating Schedule</t>
  </si>
  <si>
    <t xml:space="preserve">time-based-frequency</t>
  </si>
  <si>
    <t xml:space="preserve">M04-008</t>
  </si>
  <si>
    <t xml:space="preserve">Meter-based Frequency</t>
  </si>
  <si>
    <t xml:space="preserve">A PM schedule driven by usage measured on a continuous meter, such as every 2,000 run hours or 10,000 km.</t>
  </si>
  <si>
    <t xml:space="preserve">Preventive Maintenance app, Frequency tab, Meter-based</t>
  </si>
  <si>
    <t xml:space="preserve">PM-P101-LUBE triggers every 500 run hours on the RUNHOURS meter.</t>
  </si>
  <si>
    <t xml:space="preserve">Meter Type: Continuous / Gauge / Characteristic; Preventive Maintenance (PM) Record</t>
  </si>
  <si>
    <t xml:space="preserve">meter-based-frequency</t>
  </si>
  <si>
    <t xml:space="preserve">M04-009</t>
  </si>
  <si>
    <t xml:space="preserve">Fixed vs Floating Schedule</t>
  </si>
  <si>
    <t xml:space="preserve">A fixed schedule keeps the next due date anchored to the original plan no matter when the last job was done. A floating schedule resets from when the last work order was actually completed or started.</t>
  </si>
  <si>
    <t xml:space="preserve">Preventive Maintenance app (Use Last Work Order's Start Date to Calculate Next Due Date option)</t>
  </si>
  <si>
    <t xml:space="preserve">If quarterly PM work is done two weeks late, a fixed schedule keeps the same next date, while a floating schedule pushes the next one two weeks out.</t>
  </si>
  <si>
    <t xml:space="preserve">Preventive Maintenance (PM) Record; Time-based Frequency</t>
  </si>
  <si>
    <t xml:space="preserve">Teams often switch to floating without realizing it can quietly reduce how often critical PMs happen.</t>
  </si>
  <si>
    <t xml:space="preserve">fixed-vs-floating-schedule</t>
  </si>
  <si>
    <t xml:space="preserve">M04-010</t>
  </si>
  <si>
    <t xml:space="preserve">Lead Time (PM)</t>
  </si>
  <si>
    <t xml:space="preserve">How many days before the due date Maximo should create the work order, giving planners time to get parts and schedule people.</t>
  </si>
  <si>
    <t xml:space="preserve">Preventive Maintenance app (Lead Time field)</t>
  </si>
  <si>
    <t xml:space="preserve">PM-P101-QTR has a 14-day lead time so planners can schedule around plant operations.</t>
  </si>
  <si>
    <t xml:space="preserve">Preventive Maintenance (PM) Record; Work Order Generation (PM)</t>
  </si>
  <si>
    <t xml:space="preserve">lead-time-pm</t>
  </si>
  <si>
    <t xml:space="preserve">M04-011</t>
  </si>
  <si>
    <t xml:space="preserve">Work Order Generation (PM)</t>
  </si>
  <si>
    <t xml:space="preserve">The process of creating work orders from PM records, either manually or through a scheduled cron task that runs automatically.</t>
  </si>
  <si>
    <t xml:space="preserve">Preventive Maintenance app, Generate Work Orders action; Cron Task Setup (PM work order generation cron task)</t>
  </si>
  <si>
    <t xml:space="preserve">Every night, the PM cron task checks all active PMs and creates work orders for any coming due.</t>
  </si>
  <si>
    <t xml:space="preserve">Cron Task; Preventive Maintenance (PM) Record; Lead Time (PM)</t>
  </si>
  <si>
    <t xml:space="preserve">work-order-generation-pm</t>
  </si>
  <si>
    <t xml:space="preserve">M04-012</t>
  </si>
  <si>
    <t xml:space="preserve">Job Plan Sequence</t>
  </si>
  <si>
    <t xml:space="preserve">A PM setting that uses different job plans at different intervals, such as a basic check monthly and a full overhaul every twelfth time.</t>
  </si>
  <si>
    <t xml:space="preserve">Preventive Maintenance app, Job Plan Sequence tab</t>
  </si>
  <si>
    <t xml:space="preserve">PM-P101-QTR uses JP-INSP-PUMP normally, and JP-OVERHAUL-PUMP every 4th time (once a year).</t>
  </si>
  <si>
    <t xml:space="preserve">Preventive Maintenance (PM) Record; Job Plan</t>
  </si>
  <si>
    <t xml:space="preserve">job-plan-sequence</t>
  </si>
  <si>
    <t xml:space="preserve">M04-013</t>
  </si>
  <si>
    <t xml:space="preserve">PM Hierarchy</t>
  </si>
  <si>
    <t xml:space="preserve">Parent and child PMs that generate work together, so a large job made of several pieces comes out as one package.</t>
  </si>
  <si>
    <t xml:space="preserve">Preventive Maintenance app, PM Hierarchy tab</t>
  </si>
  <si>
    <t xml:space="preserve">An annual shutdown PM at TP1 generates a parent work order with child work orders for each pump, valve and motor.</t>
  </si>
  <si>
    <t xml:space="preserve">Child Work Order / Work Package; Preventive Maintenance (PM) Record</t>
  </si>
  <si>
    <t xml:space="preserve">pm-hierarchy</t>
  </si>
  <si>
    <t xml:space="preserve">M04-014</t>
  </si>
  <si>
    <t xml:space="preserve">Master PM</t>
  </si>
  <si>
    <t xml:space="preserve">A template PM used to create and update many regular PMs for similar assets at once.</t>
  </si>
  <si>
    <t xml:space="preserve">Master PM app</t>
  </si>
  <si>
    <t xml:space="preserve">Master PM MPM-BOOSTER-ANN keeps 12 booster pump PMs in line; one change updates them all.</t>
  </si>
  <si>
    <t xml:space="preserve">Preventive Maintenance (PM) Record; Asset Template</t>
  </si>
  <si>
    <t xml:space="preserve">master-pm</t>
  </si>
  <si>
    <t xml:space="preserve">M04-015</t>
  </si>
  <si>
    <t xml:space="preserve">Seasonal Dates</t>
  </si>
  <si>
    <t xml:space="preserve">Settings that only allow PM work orders to be generated during certain months or days.</t>
  </si>
  <si>
    <t xml:space="preserve">Preventive Maintenance app, Seasonal Dates tab</t>
  </si>
  <si>
    <t xml:space="preserve">Hydrant flushing PMs only generate between May and October.</t>
  </si>
  <si>
    <t xml:space="preserve">seasonal-dates</t>
  </si>
  <si>
    <t xml:space="preserve">M04-016</t>
  </si>
  <si>
    <t xml:space="preserve">PM Forecast</t>
  </si>
  <si>
    <t xml:space="preserve">A projection of when future PM work orders will come due, used to plan labor and budget ahead.</t>
  </si>
  <si>
    <t xml:space="preserve">Preventive Maintenance app, Forecast tab / Generate Forecast</t>
  </si>
  <si>
    <t xml:space="preserve">The forecast shows TP1 will need about 1,100 PM labor hours next year.</t>
  </si>
  <si>
    <t xml:space="preserve">Preventive Maintenance (PM) Record; Budget Monitoring; Planning vs Scheduling</t>
  </si>
  <si>
    <t xml:space="preserve">pm-forecast</t>
  </si>
  <si>
    <t xml:space="preserve">M04-017</t>
  </si>
  <si>
    <t xml:space="preserve">Routes</t>
  </si>
  <si>
    <t xml:space="preserve">Route</t>
  </si>
  <si>
    <t xml:space="preserve">ROUTE</t>
  </si>
  <si>
    <t xml:space="preserve">A list of assets or locations (route stops) to visit in order, often for inspections or rounds. A route can create one work order, or a parent with children or tasks for each stop.</t>
  </si>
  <si>
    <t xml:space="preserve">Routes app</t>
  </si>
  <si>
    <t xml:space="preserve">Route RT-TP1-DAILY covers the intake, filters, chemical feed and clearwell.</t>
  </si>
  <si>
    <t xml:space="preserve">Route Stop; Preventive Maintenance (PM) Record; Inspection</t>
  </si>
  <si>
    <t xml:space="preserve">route</t>
  </si>
  <si>
    <t xml:space="preserve">M04-018</t>
  </si>
  <si>
    <t xml:space="preserve">Route Stop</t>
  </si>
  <si>
    <t xml:space="preserve">One asset or location on a route, optionally with its own job plan.</t>
  </si>
  <si>
    <t xml:space="preserve">Routes app, Route Stops tab</t>
  </si>
  <si>
    <t xml:space="preserve">Stop 30 on RT-TP1-DAILY is CL2-AN-01, the chlorine analyzer.</t>
  </si>
  <si>
    <t xml:space="preserve">route-stop</t>
  </si>
  <si>
    <t xml:space="preserve">M04-019</t>
  </si>
  <si>
    <t xml:space="preserve">Safety</t>
  </si>
  <si>
    <t xml:space="preserve">Safety Plan</t>
  </si>
  <si>
    <t xml:space="preserve">A collection of hazards, precautions, lockout/tagout procedures and hazardous materials that apply to a job. It is attached to work orders so safety information goes with the work.</t>
  </si>
  <si>
    <t xml:space="preserve">Safety Plans app; Work Order Tracking, Safety Plan tab</t>
  </si>
  <si>
    <t xml:space="preserve">Safety plan SP-PUMP-LOTO covers rotating equipment, stored energy and confined space hazards for pump jobs.</t>
  </si>
  <si>
    <t xml:space="preserve">Hazard; Precaution; Lockout/Tagout (LOTO)</t>
  </si>
  <si>
    <t xml:space="preserve">safety-plan</t>
  </si>
  <si>
    <t xml:space="preserve">M04-020</t>
  </si>
  <si>
    <t xml:space="preserve">Hazard</t>
  </si>
  <si>
    <t xml:space="preserve">A recorded danger such as electrical energy, chemical exposure or confined space, linked to assets, locations and safety plans.</t>
  </si>
  <si>
    <t xml:space="preserve">Hazards app</t>
  </si>
  <si>
    <t xml:space="preserve">Hazard CHLORINE-GAS is linked to TP1-CHEM.</t>
  </si>
  <si>
    <t xml:space="preserve">Precaution; Safety Plan</t>
  </si>
  <si>
    <t xml:space="preserve">hazard</t>
  </si>
  <si>
    <t xml:space="preserve">M04-021</t>
  </si>
  <si>
    <t xml:space="preserve">Precaution</t>
  </si>
  <si>
    <t xml:space="preserve">A protective step or piece of equipment needed to deal with a hazard, such as gloves, a respirator or a gas detector.</t>
  </si>
  <si>
    <t xml:space="preserve">Precautions app</t>
  </si>
  <si>
    <t xml:space="preserve">For CHLORINE-GAS, the precaution is 'wear SCBA and carry personal gas monitor'.</t>
  </si>
  <si>
    <t xml:space="preserve">Hazard; Safety Plan</t>
  </si>
  <si>
    <t xml:space="preserve">precaution</t>
  </si>
  <si>
    <t xml:space="preserve">M04-022</t>
  </si>
  <si>
    <t xml:space="preserve">Lockout/Tagout (LOTO)</t>
  </si>
  <si>
    <t xml:space="preserve">The steps used to isolate energy sources and tag them so equipment cannot be started while someone is working on it.</t>
  </si>
  <si>
    <t xml:space="preserve">Lock Out / Tag Out app; Safety Plans</t>
  </si>
  <si>
    <t xml:space="preserve">Before seal work on P-101, breaker MCC-3-07 is locked out and tagged with Dev's tag.</t>
  </si>
  <si>
    <t xml:space="preserve">Safety Plan; Permit to Work</t>
  </si>
  <si>
    <t xml:space="preserve">lockout-tagout-loto</t>
  </si>
  <si>
    <t xml:space="preserve">M04-023</t>
  </si>
  <si>
    <t xml:space="preserve">Permit to Work</t>
  </si>
  <si>
    <t xml:space="preserve">A formal approval that dangerous work can go ahead under certain controls, like hot work or confined space entry.</t>
  </si>
  <si>
    <t xml:space="preserve">Work permit capabilities (Health, Safety and Environment add-on in MAS)</t>
  </si>
  <si>
    <t xml:space="preserve">Welding near the clearwell requires a hot work permit signed by the shift supervisor.</t>
  </si>
  <si>
    <t xml:space="preserve">Lockout/Tagout (LOTO); Health, Safety and Environment (HSE)</t>
  </si>
  <si>
    <t xml:space="preserve">Full permit-to-work processes are part of the HSE add-on; base Manage covers simpler safety data.</t>
  </si>
  <si>
    <t xml:space="preserve">permit-to-work</t>
  </si>
  <si>
    <t xml:space="preserve">M05-001</t>
  </si>
  <si>
    <t xml:space="preserve">05 Inventory and Storerooms</t>
  </si>
  <si>
    <t xml:space="preserve">Items</t>
  </si>
  <si>
    <t xml:space="preserve">Item</t>
  </si>
  <si>
    <t xml:space="preserve">ITEMNUM</t>
  </si>
  <si>
    <t xml:space="preserve">A part or material the organization buys, stocks or uses, like a bearing, filter or gallon of oil. The item is the catalog entry; actual stock lives in storerooms.</t>
  </si>
  <si>
    <t xml:space="preserve">Item Master app</t>
  </si>
  <si>
    <t xml:space="preserve">Item 1001-SEAL is a mechanical seal kit for 4 inch shafts.</t>
  </si>
  <si>
    <t xml:space="preserve">Item Master; Inventory (Inventory Record); Storeroom; Rotating Asset / Rotating Item</t>
  </si>
  <si>
    <t xml:space="preserve">IBM Docs &gt; Maximo Manage &gt; Inventory management</t>
  </si>
  <si>
    <t xml:space="preserve">item</t>
  </si>
  <si>
    <t xml:space="preserve">M05-002</t>
  </si>
  <si>
    <t xml:space="preserve">Item Master</t>
  </si>
  <si>
    <t xml:space="preserve">The application and catalog where items are defined once for an item set, with description, order and issue units, commodity group and whether they are rotating, lotted and so on.</t>
  </si>
  <si>
    <t xml:space="preserve">1001-SEAL is set up in the Item Master with order unit EA and commodity group SEALS.</t>
  </si>
  <si>
    <t xml:space="preserve">Item; Item Set; Commodity Code / Commodity Group</t>
  </si>
  <si>
    <t xml:space="preserve">item-master</t>
  </si>
  <si>
    <t xml:space="preserve">M05-003</t>
  </si>
  <si>
    <t xml:space="preserve">Item Status</t>
  </si>
  <si>
    <t xml:space="preserve">Items have statuses such as PENDING, ACTIVE, PLANNING, PENDOBS (pending obsolete) and OBSOLETE that control whether they can be ordered or issued.</t>
  </si>
  <si>
    <t xml:space="preserve">Item Master app, Change Status</t>
  </si>
  <si>
    <t xml:space="preserve">An old bearing that no longer fits any pump moves to PENDOBS and then OBSOLETE once stock runs out.</t>
  </si>
  <si>
    <t xml:space="preserve">item-status</t>
  </si>
  <si>
    <t xml:space="preserve">M05-004</t>
  </si>
  <si>
    <t xml:space="preserve">Commodity Code / Commodity Group</t>
  </si>
  <si>
    <t xml:space="preserve">A way of grouping items and services by what they are, used for purchasing, reporting and spend analysis.</t>
  </si>
  <si>
    <t xml:space="preserve">Commodity Codes app</t>
  </si>
  <si>
    <t xml:space="preserve">Seals, gaskets and O-rings all sit under commodity group SEALS.</t>
  </si>
  <si>
    <t xml:space="preserve">Item; Purchase Order (PO)</t>
  </si>
  <si>
    <t xml:space="preserve">commodity-code-commodity-group</t>
  </si>
  <si>
    <t xml:space="preserve">M05-005</t>
  </si>
  <si>
    <t xml:space="preserve">Order Unit vs Issue Unit</t>
  </si>
  <si>
    <t xml:space="preserve">Items can be bought in one unit and handed out in another, with a conversion between them.</t>
  </si>
  <si>
    <t xml:space="preserve">Item Master; Inventory; Conversion values</t>
  </si>
  <si>
    <t xml:space="preserve">Gasket sheet is ordered by the BOX (10 sheets) and issued by the SHEET.</t>
  </si>
  <si>
    <t xml:space="preserve">Forgetting the conversion is a common reason stock balances look wrong.</t>
  </si>
  <si>
    <t xml:space="preserve">order-unit-vs-issue-unit</t>
  </si>
  <si>
    <t xml:space="preserve">M05-006</t>
  </si>
  <si>
    <t xml:space="preserve">Lotted Item</t>
  </si>
  <si>
    <t xml:space="preserve">An item tracked by lot or batch number, often because it has an expiry date or quality traceability requirements.</t>
  </si>
  <si>
    <t xml:space="preserve">Item Master (Lot Type field); Inventory, Lots</t>
  </si>
  <si>
    <t xml:space="preserve">Water treatment polymer is lotted so each batch can be traced and expired stock removed.</t>
  </si>
  <si>
    <t xml:space="preserve">lotted-item</t>
  </si>
  <si>
    <t xml:space="preserve">M05-007</t>
  </si>
  <si>
    <t xml:space="preserve">Kit</t>
  </si>
  <si>
    <t xml:space="preserve">An item made up of other items that are issued together as one unit.</t>
  </si>
  <si>
    <t xml:space="preserve">Item Master (Kit checkbox) ; Inventory, Assemble/Disassemble Kit</t>
  </si>
  <si>
    <t xml:space="preserve">Kit 1001-SEAL contains the seal cartridge, two O-rings and a gasket.</t>
  </si>
  <si>
    <t xml:space="preserve">Item; Item Assembly Structure (IAS)</t>
  </si>
  <si>
    <t xml:space="preserve">kit</t>
  </si>
  <si>
    <t xml:space="preserve">M05-008</t>
  </si>
  <si>
    <t xml:space="preserve">Item Assembly Structure (IAS)</t>
  </si>
  <si>
    <t xml:space="preserve">A breakdown of how items and rotating assets fit together, often used to build asset hierarchies and spare parts lists consistently.</t>
  </si>
  <si>
    <t xml:space="preserve">Item Master, Item Assembly Structure tab</t>
  </si>
  <si>
    <t xml:space="preserve">The standard booster pump IAS lists pump end, motor, coupling and baseplate.</t>
  </si>
  <si>
    <t xml:space="preserve">Asset Hierarchy; Spare Parts (Asset); Rotating Asset / Rotating Item</t>
  </si>
  <si>
    <t xml:space="preserve">item-assembly-structure-ias</t>
  </si>
  <si>
    <t xml:space="preserve">M05-009</t>
  </si>
  <si>
    <t xml:space="preserve">Service Item</t>
  </si>
  <si>
    <t xml:space="preserve">A non-physical thing that can be ordered and costed like an item, such as vibration analysis or crane hire.</t>
  </si>
  <si>
    <t xml:space="preserve">Service Items app</t>
  </si>
  <si>
    <t xml:space="preserve">Service item VIB-ANALYSIS is ordered from a contractor for quarterly vibration surveys.</t>
  </si>
  <si>
    <t xml:space="preserve">Item; Purchase Order (PO); Purchase Contract</t>
  </si>
  <si>
    <t xml:space="preserve">service-item</t>
  </si>
  <si>
    <t xml:space="preserve">M05-010</t>
  </si>
  <si>
    <t xml:space="preserve">Tool</t>
  </si>
  <si>
    <t xml:space="preserve">A tool defined in Maximo so it can be planned on work and, if wanted, charged at an hourly rate.</t>
  </si>
  <si>
    <t xml:space="preserve">Tools app; Stocked Tools app</t>
  </si>
  <si>
    <t xml:space="preserve">A laser alignment kit is planned on JP-SEAL-CENT and charged to work orders at $25 per hour.</t>
  </si>
  <si>
    <t xml:space="preserve">tool</t>
  </si>
  <si>
    <t xml:space="preserve">M05-011</t>
  </si>
  <si>
    <t xml:space="preserve">Storerooms</t>
  </si>
  <si>
    <t xml:space="preserve">Storeroom</t>
  </si>
  <si>
    <t xml:space="preserve">LOCATION (type STOREROOM)</t>
  </si>
  <si>
    <t xml:space="preserve">A location of type STOREROOM that holds stock. Each storeroom keeps its own balances, costs, bins and reorder settings for the items it carries.</t>
  </si>
  <si>
    <t xml:space="preserve">Storerooms app; Locations app</t>
  </si>
  <si>
    <t xml:space="preserve">RWA has CENTRAL at TP1 and DIST-STORE at the distribution yard.</t>
  </si>
  <si>
    <t xml:space="preserve">Inventory (Inventory Record); Location Type; Bin</t>
  </si>
  <si>
    <t xml:space="preserve">storeroom</t>
  </si>
  <si>
    <t xml:space="preserve">M05-012</t>
  </si>
  <si>
    <t xml:space="preserve">Inventory (Inventory Record)</t>
  </si>
  <si>
    <t xml:space="preserve">The record of an item in a specific storeroom, holding the balance, cost, bins and reorder details.</t>
  </si>
  <si>
    <t xml:space="preserve">Inventory app</t>
  </si>
  <si>
    <t xml:space="preserve">1001-SEAL in CENTRAL has 4 on hand, a reorder point of 2 and an average cost of $310.</t>
  </si>
  <si>
    <t xml:space="preserve">Item; Storeroom; Reorder Point; Cost Type: Average / Standard / LIFO / FIFO</t>
  </si>
  <si>
    <t xml:space="preserve">inventory-inventory-record</t>
  </si>
  <si>
    <t xml:space="preserve">M05-013</t>
  </si>
  <si>
    <t xml:space="preserve">Bin</t>
  </si>
  <si>
    <t xml:space="preserve">BINNUM</t>
  </si>
  <si>
    <t xml:space="preserve">A specific shelf, drawer or spot inside a storeroom where stock is kept.</t>
  </si>
  <si>
    <t xml:space="preserve">Inventory app, bin details</t>
  </si>
  <si>
    <t xml:space="preserve">1001-SEAL lives in bin A-03-2 in CENTRAL.</t>
  </si>
  <si>
    <t xml:space="preserve">Storeroom; Inventory (Inventory Record)</t>
  </si>
  <si>
    <t xml:space="preserve">bin</t>
  </si>
  <si>
    <t xml:space="preserve">M05-014</t>
  </si>
  <si>
    <t xml:space="preserve">Current Balance / Available / Reserved</t>
  </si>
  <si>
    <t xml:space="preserve">Current balance is what is physically on the shelf. Reserved is what is set aside for planned work. Available is roughly what is left for everyone else.</t>
  </si>
  <si>
    <t xml:space="preserve">CENTRAL has 4 seal kits, 2 reserved for upcoming work orders, so 2 are available.</t>
  </si>
  <si>
    <t xml:space="preserve">Reservation (Reserved Items); Inventory (Inventory Record)</t>
  </si>
  <si>
    <t xml:space="preserve">current-balance-available-reserved</t>
  </si>
  <si>
    <t xml:space="preserve">M05-015</t>
  </si>
  <si>
    <t xml:space="preserve">Reservation (Reserved Items)</t>
  </si>
  <si>
    <t xml:space="preserve">Holding stock aside for a specific work order or request so it is not used by someone else. Reservations can be hard or soft depending on settings.</t>
  </si>
  <si>
    <t xml:space="preserve">Inventory Usage; Work Order Tracking, Plans (Materials); Reserved Items</t>
  </si>
  <si>
    <t xml:space="preserve">Planning WO 50231 automatically reserves one 1001-SEAL in CENTRAL.</t>
  </si>
  <si>
    <t xml:space="preserve">Current Balance / Available / Reserved; Work Order; Inventory Usage</t>
  </si>
  <si>
    <t xml:space="preserve">reservation-reserved-items</t>
  </si>
  <si>
    <t xml:space="preserve">M05-016</t>
  </si>
  <si>
    <t xml:space="preserve">Issue</t>
  </si>
  <si>
    <t xml:space="preserve">Taking stock out of a storeroom and charging it to a work order, asset, location or GL account.</t>
  </si>
  <si>
    <t xml:space="preserve">Inventory Usage app; Issues and Transfers app</t>
  </si>
  <si>
    <t xml:space="preserve">The store clerk issues one 1001-SEAL to WO 50231, which adds $310 to the work order's actual cost.</t>
  </si>
  <si>
    <t xml:space="preserve">Return; Transfer; Actuals Tab; Inventory Usage</t>
  </si>
  <si>
    <t xml:space="preserve">issue</t>
  </si>
  <si>
    <t xml:space="preserve">M05-017</t>
  </si>
  <si>
    <t xml:space="preserve">Return</t>
  </si>
  <si>
    <t xml:space="preserve">Putting unused stock back into a storeroom and crediting the work order or account it was charged to.</t>
  </si>
  <si>
    <t xml:space="preserve">Inventory Usage app</t>
  </si>
  <si>
    <t xml:space="preserve">The tech only needed one of two O-rings, so one is returned to CENTRAL.</t>
  </si>
  <si>
    <t xml:space="preserve">return</t>
  </si>
  <si>
    <t xml:space="preserve">M05-018</t>
  </si>
  <si>
    <t xml:space="preserve">Transfer</t>
  </si>
  <si>
    <t xml:space="preserve">Moving stock from one storeroom to another, either directly or through shipping and receiving.</t>
  </si>
  <si>
    <t xml:space="preserve">Two seal kits move from CENTRAL to DIST-STORE for a pump station job.</t>
  </si>
  <si>
    <t xml:space="preserve">Issue; Storeroom</t>
  </si>
  <si>
    <t xml:space="preserve">transfer</t>
  </si>
  <si>
    <t xml:space="preserve">M05-019</t>
  </si>
  <si>
    <t xml:space="preserve">Inventory Usage</t>
  </si>
  <si>
    <t xml:space="preserve">The application used to process issues, returns and transfers, often in a staged or batch way with approvals.</t>
  </si>
  <si>
    <t xml:space="preserve">The store clerk stages a usage record with five issues for Tuesday's jobs and completes it when techs pick up.</t>
  </si>
  <si>
    <t xml:space="preserve">Issue; Return; Transfer</t>
  </si>
  <si>
    <t xml:space="preserve">Added in the 7.5 and 7.6 era; many older guides only describe Issues and Transfers.</t>
  </si>
  <si>
    <t xml:space="preserve">inventory-usage</t>
  </si>
  <si>
    <t xml:space="preserve">M05-020</t>
  </si>
  <si>
    <t xml:space="preserve">Direct Issue</t>
  </si>
  <si>
    <t xml:space="preserve">Buying material straight to a work order or location so it never goes into storeroom stock.</t>
  </si>
  <si>
    <t xml:space="preserve">Purchase Requisitions / Purchase Orders (Line Type with direct issue); Receiving</t>
  </si>
  <si>
    <t xml:space="preserve">A one-off coupling for P-101 is ordered directly to WO 50231 and received to it.</t>
  </si>
  <si>
    <t xml:space="preserve">Purchase Order (PO); Receiving; Issue</t>
  </si>
  <si>
    <t xml:space="preserve">direct-issue</t>
  </si>
  <si>
    <t xml:space="preserve">M05-021</t>
  </si>
  <si>
    <t xml:space="preserve">Physical Count / Cycle Count</t>
  </si>
  <si>
    <t xml:space="preserve">Checking actual stock on the shelf against Maximo's balance and adjusting it. Cycle counting does this in rotation, often more often for high-value or critical items.</t>
  </si>
  <si>
    <t xml:space="preserve">Inventory app (Adjust Physical Count action); Count Books app</t>
  </si>
  <si>
    <t xml:space="preserve">CENTRAL counts A-class items monthly and C-class items once a year.</t>
  </si>
  <si>
    <t xml:space="preserve">ABC Type; Count Book</t>
  </si>
  <si>
    <t xml:space="preserve">physical-count-cycle-count</t>
  </si>
  <si>
    <t xml:space="preserve">M05-022</t>
  </si>
  <si>
    <t xml:space="preserve">Count Book</t>
  </si>
  <si>
    <t xml:space="preserve">A list of inventory items selected for counting, used to organize and record cycle counts.</t>
  </si>
  <si>
    <t xml:space="preserve">Count Books app</t>
  </si>
  <si>
    <t xml:space="preserve">Count book CB-2026-10 includes all A-class items in CENTRAL for October.</t>
  </si>
  <si>
    <t xml:space="preserve">Physical Count / Cycle Count; ABC Type</t>
  </si>
  <si>
    <t xml:space="preserve">count-book</t>
  </si>
  <si>
    <t xml:space="preserve">M05-023</t>
  </si>
  <si>
    <t xml:space="preserve">ABC Type</t>
  </si>
  <si>
    <t xml:space="preserve">ABCTYPE</t>
  </si>
  <si>
    <t xml:space="preserve">A classification of inventory by value or importance, where A items are the most valuable and need the closest control.</t>
  </si>
  <si>
    <t xml:space="preserve">Inventory app (ABC Type field)</t>
  </si>
  <si>
    <t xml:space="preserve">The 250 HP spare motor is an A item; zip ties are C items.</t>
  </si>
  <si>
    <t xml:space="preserve">Physical Count / Cycle Count; Inventory (Inventory Record)</t>
  </si>
  <si>
    <t xml:space="preserve">abc-type</t>
  </si>
  <si>
    <t xml:space="preserve">M05-024</t>
  </si>
  <si>
    <t xml:space="preserve">Condition Code</t>
  </si>
  <si>
    <t xml:space="preserve">CONDITIONCODE</t>
  </si>
  <si>
    <t xml:space="preserve">A code that tracks the state of a rotating item in stock, such as NEW or REFURB, each with its own value.</t>
  </si>
  <si>
    <t xml:space="preserve">Condition Codes; Item Master (Condition Enabled)</t>
  </si>
  <si>
    <t xml:space="preserve">CENTRAL holds one NEW motor at 100 percent value and one REFURB motor at 60 percent.</t>
  </si>
  <si>
    <t xml:space="preserve">Rotating Asset / Rotating Item; Repair Facility</t>
  </si>
  <si>
    <t xml:space="preserve">condition-code</t>
  </si>
  <si>
    <t xml:space="preserve">M05-025</t>
  </si>
  <si>
    <t xml:space="preserve">Reordering</t>
  </si>
  <si>
    <t xml:space="preserve">Reorder Point</t>
  </si>
  <si>
    <t xml:space="preserve">MINLEVEL</t>
  </si>
  <si>
    <t xml:space="preserve">The stock level at which Maximo should suggest ordering more.</t>
  </si>
  <si>
    <t xml:space="preserve">Inventory app, Reorder details</t>
  </si>
  <si>
    <t xml:space="preserve">When 1001-SEAL drops to 2, it is flagged for reordering.</t>
  </si>
  <si>
    <t xml:space="preserve">Economic Order Quantity (EOQ); Safety Stock; Reorder (Process)</t>
  </si>
  <si>
    <t xml:space="preserve">reorder-point</t>
  </si>
  <si>
    <t xml:space="preserve">M05-026</t>
  </si>
  <si>
    <t xml:space="preserve">Economic Order Quantity (EOQ)</t>
  </si>
  <si>
    <t xml:space="preserve">ORDERQTY</t>
  </si>
  <si>
    <t xml:space="preserve">How much to order each time stock is replenished. Maximo can use a set quantity on the inventory record.</t>
  </si>
  <si>
    <t xml:space="preserve">Inventory app (EOQ / Order Quantity)</t>
  </si>
  <si>
    <t xml:space="preserve">Each reorder of 1001-SEAL brings in 4 kits.</t>
  </si>
  <si>
    <t xml:space="preserve">Reorder Point; Safety Stock</t>
  </si>
  <si>
    <t xml:space="preserve">economic-order-quantity-eoq</t>
  </si>
  <si>
    <t xml:space="preserve">M05-027</t>
  </si>
  <si>
    <t xml:space="preserve">Safety Stock</t>
  </si>
  <si>
    <t xml:space="preserve">Extra stock kept to protect against delays or demand spikes.</t>
  </si>
  <si>
    <t xml:space="preserve">RWA keeps 1 extra 1001-SEAL because the supplier lead time can stretch to 6 weeks.</t>
  </si>
  <si>
    <t xml:space="preserve">Reorder Point; Lead Time (PM)</t>
  </si>
  <si>
    <t xml:space="preserve">safety-stock</t>
  </si>
  <si>
    <t xml:space="preserve">M05-028</t>
  </si>
  <si>
    <t xml:space="preserve">Reorder (Process)</t>
  </si>
  <si>
    <t xml:space="preserve">Maximo checks storerooms against reorder points and creates purchase requisitions or orders for what needs replenishing, either manually or by cron task.</t>
  </si>
  <si>
    <t xml:space="preserve">Reorder application/action; Reorder cron task</t>
  </si>
  <si>
    <t xml:space="preserve">The nightly reorder cron task creates a PR for 4 seal kits from Northshore Pump Supply.</t>
  </si>
  <si>
    <t xml:space="preserve">Reorder Point; Purchase Requisition (PR); Cron Task</t>
  </si>
  <si>
    <t xml:space="preserve">reorder-process</t>
  </si>
  <si>
    <t xml:space="preserve">M05-029</t>
  </si>
  <si>
    <t xml:space="preserve">Lead Time (Inventory)</t>
  </si>
  <si>
    <t xml:space="preserve">DELIVERYTIME</t>
  </si>
  <si>
    <t xml:space="preserve">How long it usually takes a vendor to deliver an item after ordering. It feeds reorder timing.</t>
  </si>
  <si>
    <t xml:space="preserve">Inventory app; Inventory Vendors</t>
  </si>
  <si>
    <t xml:space="preserve">1001-SEAL has a 21-day lead time from Northshore.</t>
  </si>
  <si>
    <t xml:space="preserve">lead-time-inventory</t>
  </si>
  <si>
    <t xml:space="preserve">M05-030</t>
  </si>
  <si>
    <t xml:space="preserve">Costing</t>
  </si>
  <si>
    <t xml:space="preserve">Cost Type: Average / Standard / LIFO / FIFO</t>
  </si>
  <si>
    <t xml:space="preserve">The method used to value stock. Average cost blends purchases over time, standard cost uses a set value, and LIFO or FIFO track cost by order of receipt.</t>
  </si>
  <si>
    <t xml:space="preserve">Inventory app; Organizations app (inventory options)</t>
  </si>
  <si>
    <t xml:space="preserve">CENTRAL uses average cost, so seal kits bought at $300 and $320 average out to $310.</t>
  </si>
  <si>
    <t xml:space="preserve">Changing cost types after go-live is difficult, so it is worth deciding carefully during implementation.</t>
  </si>
  <si>
    <t xml:space="preserve">cost-type-average-standard-lifo-fifo</t>
  </si>
  <si>
    <t xml:space="preserve">M06-001</t>
  </si>
  <si>
    <t xml:space="preserve">06 Purchasing and Contracts</t>
  </si>
  <si>
    <t xml:space="preserve">Purchasing</t>
  </si>
  <si>
    <t xml:space="preserve">Purchase Requisition (PR)</t>
  </si>
  <si>
    <t xml:space="preserve">PRNUM</t>
  </si>
  <si>
    <t xml:space="preserve">An internal request to buy something. Once approved, it becomes a purchase order sent to a vendor.</t>
  </si>
  <si>
    <t xml:space="preserve">Purchase Requisitions app; Desktop Requisitions</t>
  </si>
  <si>
    <t xml:space="preserve">A planner creates PR 8812 for a coupling needed on WO 50231.</t>
  </si>
  <si>
    <t xml:space="preserve">Purchase Order (PO); Approval Limit / Tolerance; Reorder (Process)</t>
  </si>
  <si>
    <t xml:space="preserve">IBM Docs &gt; Maximo Manage &gt; Purchasing / Contracts</t>
  </si>
  <si>
    <t xml:space="preserve">purchase-requisition-pr</t>
  </si>
  <si>
    <t xml:space="preserve">M06-002</t>
  </si>
  <si>
    <t xml:space="preserve">Desktop Requisition</t>
  </si>
  <si>
    <t xml:space="preserve">A simplified way for casual users to request items or services without learning the full purchasing applications.</t>
  </si>
  <si>
    <t xml:space="preserve">Desktop Requisitions app</t>
  </si>
  <si>
    <t xml:space="preserve">A lab tech requests new sample bottles through a desktop requisition.</t>
  </si>
  <si>
    <t xml:space="preserve">Purchase Requisition (PR); Self-Service Request</t>
  </si>
  <si>
    <t xml:space="preserve">desktop-requisition</t>
  </si>
  <si>
    <t xml:space="preserve">M06-003</t>
  </si>
  <si>
    <t xml:space="preserve">Request for Quotation (RFQ)</t>
  </si>
  <si>
    <t xml:space="preserve">RFQNUM</t>
  </si>
  <si>
    <t xml:space="preserve">A request sent to one or more vendors asking for prices. Quotes are compared and the winning one becomes a PO or contract.</t>
  </si>
  <si>
    <t xml:space="preserve">RFQs app; Quotations</t>
  </si>
  <si>
    <t xml:space="preserve">RWA sends an RFQ for a spare 250 HP motor to three suppliers and awards the lowest compliant quote.</t>
  </si>
  <si>
    <t xml:space="preserve">Purchase Order (PO); Company / Vendor; Purchase Contract</t>
  </si>
  <si>
    <t xml:space="preserve">request-for-quotation-rfq</t>
  </si>
  <si>
    <t xml:space="preserve">M06-004</t>
  </si>
  <si>
    <t xml:space="preserve">Purchase Order (PO)</t>
  </si>
  <si>
    <t xml:space="preserve">PONUM</t>
  </si>
  <si>
    <t xml:space="preserve">The official order sent to a vendor to buy items or services. It commits spending and is what receipts and invoices are matched against.</t>
  </si>
  <si>
    <t xml:space="preserve">Purchase Orders app</t>
  </si>
  <si>
    <t xml:space="preserve">PO 22014 orders 4 seal kits from Northshore Pump Supply at $310 each.</t>
  </si>
  <si>
    <t xml:space="preserve">Purchase Requisition (PR); Receiving; Invoice; Three-way Match</t>
  </si>
  <si>
    <t xml:space="preserve">purchase-order-po</t>
  </si>
  <si>
    <t xml:space="preserve">M06-005</t>
  </si>
  <si>
    <t xml:space="preserve">PO Line Type</t>
  </si>
  <si>
    <t xml:space="preserve">LINETYPE</t>
  </si>
  <si>
    <t xml:space="preserve">Each PO line is an ITEM, MATERIAL, SERVICE, STDSERVICE or TOOL, which controls how it is received and costed.</t>
  </si>
  <si>
    <t xml:space="preserve">Purchase Orders app, PO Lines</t>
  </si>
  <si>
    <t xml:space="preserve">Seal kits are ITEM lines, a vibration survey is a SERVICE line.</t>
  </si>
  <si>
    <t xml:space="preserve">Purchase Order (PO); Service Item</t>
  </si>
  <si>
    <t xml:space="preserve">po-line-type</t>
  </si>
  <si>
    <t xml:space="preserve">M06-006</t>
  </si>
  <si>
    <t xml:space="preserve">PO Status</t>
  </si>
  <si>
    <t xml:space="preserve">POs move through statuses such as WAPPR, APPR, INPRG, HOLD, REVISE, CLOSE and CAN.</t>
  </si>
  <si>
    <t xml:space="preserve">Purchase Orders app, Change Status</t>
  </si>
  <si>
    <t xml:space="preserve">PO 22014 is APPR once approved and CLOSE once fully received and invoiced.</t>
  </si>
  <si>
    <t xml:space="preserve">Purchase Order (PO); PO Revision</t>
  </si>
  <si>
    <t xml:space="preserve">po-status</t>
  </si>
  <si>
    <t xml:space="preserve">M06-007</t>
  </si>
  <si>
    <t xml:space="preserve">PO Revision</t>
  </si>
  <si>
    <t xml:space="preserve">Changing an approved PO by creating a new revision so the history of what was originally ordered is kept.</t>
  </si>
  <si>
    <t xml:space="preserve">Purchase Orders app, Revise PO action</t>
  </si>
  <si>
    <t xml:space="preserve">Northshore raises the seal price, so PO 22014 is revised to revision 1.</t>
  </si>
  <si>
    <t xml:space="preserve">po-revision</t>
  </si>
  <si>
    <t xml:space="preserve">M06-008</t>
  </si>
  <si>
    <t xml:space="preserve">Receiving</t>
  </si>
  <si>
    <t xml:space="preserve">Recording that ordered goods or services have arrived. Receiving updates stock, work order costs and the PO.</t>
  </si>
  <si>
    <t xml:space="preserve">Receiving app</t>
  </si>
  <si>
    <t xml:space="preserve">CENTRAL receives 4 seal kits against PO 22014 and the balance goes from 2 to 6.</t>
  </si>
  <si>
    <t xml:space="preserve">Purchase Order (PO); Receipt Inspection; Invoice</t>
  </si>
  <si>
    <t xml:space="preserve">receiving</t>
  </si>
  <si>
    <t xml:space="preserve">M06-009</t>
  </si>
  <si>
    <t xml:space="preserve">Receipt Inspection</t>
  </si>
  <si>
    <t xml:space="preserve">Setting items to be inspected on arrival before they go into usable stock.</t>
  </si>
  <si>
    <t xml:space="preserve">Receiving app (Inspection Required)</t>
  </si>
  <si>
    <t xml:space="preserve">Spare motors require inspection, so the new motor waits in WINSP status until checked.</t>
  </si>
  <si>
    <t xml:space="preserve">Receiving; Rotating Asset / Rotating Item</t>
  </si>
  <si>
    <t xml:space="preserve">receipt-inspection</t>
  </si>
  <si>
    <t xml:space="preserve">M06-010</t>
  </si>
  <si>
    <t xml:space="preserve">Invoice</t>
  </si>
  <si>
    <t xml:space="preserve">INVOICENUM</t>
  </si>
  <si>
    <t xml:space="preserve">A record of the vendor's bill, matched against the PO and receipts before payment.</t>
  </si>
  <si>
    <t xml:space="preserve">Invoices app</t>
  </si>
  <si>
    <t xml:space="preserve">Northshore's invoice for $1,240 is entered and matched to PO 22014.</t>
  </si>
  <si>
    <t xml:space="preserve">Three-way Match; Purchase Order (PO)</t>
  </si>
  <si>
    <t xml:space="preserve">invoice</t>
  </si>
  <si>
    <t xml:space="preserve">M06-011</t>
  </si>
  <si>
    <t xml:space="preserve">Three-way Match</t>
  </si>
  <si>
    <t xml:space="preserve">Checking that the PO, what was received and the invoice all agree on quantity and price before paying.</t>
  </si>
  <si>
    <t xml:space="preserve">Invoices app; Organizations (tolerances)</t>
  </si>
  <si>
    <t xml:space="preserve">The invoice shows 4 kits, receipts show 4 kits, PO shows 4 kits at $310, so it matches.</t>
  </si>
  <si>
    <t xml:space="preserve">Invoice; Receiving; Approval Limit / Tolerance</t>
  </si>
  <si>
    <t xml:space="preserve">three-way-match</t>
  </si>
  <si>
    <t xml:space="preserve">M06-012</t>
  </si>
  <si>
    <t xml:space="preserve">Approval Limit / Tolerance</t>
  </si>
  <si>
    <t xml:space="preserve">Spending limits and allowed variances set by security group or person, controlling who can approve what and how far an invoice can differ from a PO.</t>
  </si>
  <si>
    <t xml:space="preserve">Security Groups app, Limits and Tolerances; Organizations app</t>
  </si>
  <si>
    <t xml:space="preserve">Supervisors can approve POs up to $10,000; the plant manager approves anything above.</t>
  </si>
  <si>
    <t xml:space="preserve">Security Group; Purchase Order (PO); Workflow</t>
  </si>
  <si>
    <t xml:space="preserve">approval-limit-tolerance</t>
  </si>
  <si>
    <t xml:space="preserve">M06-013</t>
  </si>
  <si>
    <t xml:space="preserve">Terms and Conditions</t>
  </si>
  <si>
    <t xml:space="preserve">Standard contract or purchasing language stored once and attached to POs and contracts.</t>
  </si>
  <si>
    <t xml:space="preserve">Terms and Conditions app</t>
  </si>
  <si>
    <t xml:space="preserve">RWA's standard warranty and delivery terms attach automatically to every PO.</t>
  </si>
  <si>
    <t xml:space="preserve">Purchase Order (PO); Purchase Contract</t>
  </si>
  <si>
    <t xml:space="preserve">terms-and-conditions</t>
  </si>
  <si>
    <t xml:space="preserve">M06-014</t>
  </si>
  <si>
    <t xml:space="preserve">Companies</t>
  </si>
  <si>
    <t xml:space="preserve">COMPANY</t>
  </si>
  <si>
    <t xml:space="preserve">An outside business such as a supplier, manufacturer or contractor. Companies can be defined in a shared master and used by several organizations.</t>
  </si>
  <si>
    <t xml:space="preserve">Companies app; Company Master app</t>
  </si>
  <si>
    <t xml:space="preserve">Northshore Pump Supply is a vendor; Apex Pumps is the manufacturer of P-101.</t>
  </si>
  <si>
    <t xml:space="preserve">Company Set; Purchase Order (PO); Manufacturer</t>
  </si>
  <si>
    <t xml:space="preserve">company-vendor</t>
  </si>
  <si>
    <t xml:space="preserve">M06-015</t>
  </si>
  <si>
    <t xml:space="preserve">Manufacturer</t>
  </si>
  <si>
    <t xml:space="preserve">A company recorded as the maker of an asset or item, which helps with warranty, parts and failure trends.</t>
  </si>
  <si>
    <t xml:space="preserve">Companies app (Type: Manufacturer); Assets and Item Master</t>
  </si>
  <si>
    <t xml:space="preserve">P-101's manufacturer is Apex Pumps.</t>
  </si>
  <si>
    <t xml:space="preserve">Company / Vendor; Asset</t>
  </si>
  <si>
    <t xml:space="preserve">manufacturer</t>
  </si>
  <si>
    <t xml:space="preserve">M06-016</t>
  </si>
  <si>
    <t xml:space="preserve">Contracts</t>
  </si>
  <si>
    <t xml:space="preserve">Purchase Contract</t>
  </si>
  <si>
    <t xml:space="preserve">An agreement with a vendor for set prices or quantities on items and services over a time period.</t>
  </si>
  <si>
    <t xml:space="preserve">Purchase Contracts app</t>
  </si>
  <si>
    <t xml:space="preserve">RWA has a 2-year contract with Northshore at fixed prices for 40 common pump parts.</t>
  </si>
  <si>
    <t xml:space="preserve">Master Contract; Blanket Contract; Price Agreement</t>
  </si>
  <si>
    <t xml:space="preserve">purchase-contract</t>
  </si>
  <si>
    <t xml:space="preserve">M06-017</t>
  </si>
  <si>
    <t xml:space="preserve">Master Contract</t>
  </si>
  <si>
    <t xml:space="preserve">An umbrella contract with a vendor that other contracts can sit under.</t>
  </si>
  <si>
    <t xml:space="preserve">Master Contracts app</t>
  </si>
  <si>
    <t xml:space="preserve">RWA's master agreement with Northshore covers both the parts contract and a repair services contract.</t>
  </si>
  <si>
    <t xml:space="preserve">master-contract</t>
  </si>
  <si>
    <t xml:space="preserve">M06-018</t>
  </si>
  <si>
    <t xml:space="preserve">Blanket Contract</t>
  </si>
  <si>
    <t xml:space="preserve">A contract that sets terms for repeated purchases up to an amount, so release POs can be created against it without a fresh process each time.</t>
  </si>
  <si>
    <t xml:space="preserve">Purchase Contracts app (Type: Blanket); Release POs</t>
  </si>
  <si>
    <t xml:space="preserve">A $50,000 blanket contract covers ongoing chemical deliveries, with a release PO each month.</t>
  </si>
  <si>
    <t xml:space="preserve">blanket-contract</t>
  </si>
  <si>
    <t xml:space="preserve">M06-019</t>
  </si>
  <si>
    <t xml:space="preserve">Price Agreement</t>
  </si>
  <si>
    <t xml:space="preserve">A contract that locks in item prices without committing to quantities.</t>
  </si>
  <si>
    <t xml:space="preserve">Purchase Contracts app (Type: Price Agreement)</t>
  </si>
  <si>
    <t xml:space="preserve">Northshore agrees to $310 per seal kit for the year, no minimum quantity.</t>
  </si>
  <si>
    <t xml:space="preserve">price-agreement</t>
  </si>
  <si>
    <t xml:space="preserve">M06-020</t>
  </si>
  <si>
    <t xml:space="preserve">Labor Rate Contract</t>
  </si>
  <si>
    <t xml:space="preserve">A contract that sets hourly rates for outside labor by craft and skill level.</t>
  </si>
  <si>
    <t xml:space="preserve">Labor Rate Contracts app</t>
  </si>
  <si>
    <t xml:space="preserve">Contract electricians are billed at $118 per hour under a labor rate contract.</t>
  </si>
  <si>
    <t xml:space="preserve">Craft; Outside Labor / Vendor Labor</t>
  </si>
  <si>
    <t xml:space="preserve">labor-rate-contract</t>
  </si>
  <si>
    <t xml:space="preserve">M06-021</t>
  </si>
  <si>
    <t xml:space="preserve">Lease / Rental Contract</t>
  </si>
  <si>
    <t xml:space="preserve">A contract for assets that are leased or rented rather than owned, tracking payments and terms.</t>
  </si>
  <si>
    <t xml:space="preserve">Lease/Rental Contracts app</t>
  </si>
  <si>
    <t xml:space="preserve">RWA rents a standby generator during the TP1 shutdown under a lease/rental contract.</t>
  </si>
  <si>
    <t xml:space="preserve">Asset; Purchase Contract</t>
  </si>
  <si>
    <t xml:space="preserve">lease-rental-contract</t>
  </si>
  <si>
    <t xml:space="preserve">M06-022</t>
  </si>
  <si>
    <t xml:space="preserve">Warranty Contract</t>
  </si>
  <si>
    <t xml:space="preserve">A contract that records warranty coverage for assets, items or locations.</t>
  </si>
  <si>
    <t xml:space="preserve">Warranty Contracts app</t>
  </si>
  <si>
    <t xml:space="preserve">Motor M-117's 2-year warranty from Apex is recorded as a warranty contract.</t>
  </si>
  <si>
    <t xml:space="preserve">Warranty; Asset</t>
  </si>
  <si>
    <t xml:space="preserve">warranty-contract</t>
  </si>
  <si>
    <t xml:space="preserve">M06-023</t>
  </si>
  <si>
    <t xml:space="preserve">Service Level Agreement (SLA)</t>
  </si>
  <si>
    <t xml:space="preserve">SLA</t>
  </si>
  <si>
    <t xml:space="preserve">Agreements that set response times or service targets, often used with service requests and ticket handling.</t>
  </si>
  <si>
    <t xml:space="preserve">Service Level Agreements app</t>
  </si>
  <si>
    <t xml:space="preserve">An SLA says priority 1 leaks must be responded to within 2 hours.</t>
  </si>
  <si>
    <t xml:space="preserve">Service Request; Escalation</t>
  </si>
  <si>
    <t xml:space="preserve">service-level-agreement-sla</t>
  </si>
  <si>
    <t xml:space="preserve">M07-001</t>
  </si>
  <si>
    <t xml:space="preserve">07 Labor, Crafts and Scheduling</t>
  </si>
  <si>
    <t xml:space="preserve">People</t>
  </si>
  <si>
    <t xml:space="preserve">Person</t>
  </si>
  <si>
    <t xml:space="preserve">PERSONID</t>
  </si>
  <si>
    <t xml:space="preserve">A record for a human being in Maximo, holding their name, contact details and calendar. A person may also have a user login, a labor record or both.</t>
  </si>
  <si>
    <t xml:space="preserve">People app</t>
  </si>
  <si>
    <t xml:space="preserve">Dev Patel has a person record with his phone number and shift calendar.</t>
  </si>
  <si>
    <t xml:space="preserve">User; Labor; Person Group</t>
  </si>
  <si>
    <t xml:space="preserve">Person, user and labor are three separate records. A person may need a login (user) and may do hands-on work (labor), but not always both.</t>
  </si>
  <si>
    <t xml:space="preserve">IBM Docs &gt; Maximo Manage &gt; Resources / Scheduling</t>
  </si>
  <si>
    <t xml:space="preserve">person</t>
  </si>
  <si>
    <t xml:space="preserve">M07-002</t>
  </si>
  <si>
    <t xml:space="preserve">User</t>
  </si>
  <si>
    <t xml:space="preserve">USERID</t>
  </si>
  <si>
    <t xml:space="preserve">A login account that lets a person sign in. It controls which security groups, sites and start centers they get.</t>
  </si>
  <si>
    <t xml:space="preserve">Users app (in MAS, user management starts in MAS administration)</t>
  </si>
  <si>
    <t xml:space="preserve">Dev's user account DPATEL gives him access to the technician security group at TP1.</t>
  </si>
  <si>
    <t xml:space="preserve">Person; Security Group; Labor</t>
  </si>
  <si>
    <t xml:space="preserve">In MAS, users are created and entitled at the suite level and then synced into Manage.</t>
  </si>
  <si>
    <t xml:space="preserve">user</t>
  </si>
  <si>
    <t xml:space="preserve">M07-003</t>
  </si>
  <si>
    <t xml:space="preserve">Labor</t>
  </si>
  <si>
    <t xml:space="preserve">LABORCODE</t>
  </si>
  <si>
    <t xml:space="preserve">A record that makes a person available to be planned and charged on work, with craft, rates and availability.</t>
  </si>
  <si>
    <t xml:space="preserve">Labor app</t>
  </si>
  <si>
    <t xml:space="preserve">Labor record DPATEL is a MECH craft at skill level JOURNEYMAN.</t>
  </si>
  <si>
    <t xml:space="preserve">Person; Craft; Labor Rate; Labor Reporting</t>
  </si>
  <si>
    <t xml:space="preserve">labor</t>
  </si>
  <si>
    <t xml:space="preserve">M07-004</t>
  </si>
  <si>
    <t xml:space="preserve">Person Group</t>
  </si>
  <si>
    <t xml:space="preserve">PERSONGROUP</t>
  </si>
  <si>
    <t xml:space="preserve">A set of people used for routing work, assignments or notifications, such as an on-call team or approval group.</t>
  </si>
  <si>
    <t xml:space="preserve">Person Groups app</t>
  </si>
  <si>
    <t xml:space="preserve">TP1-SUPV includes the three shift supervisors so new service requests go to whoever is on.</t>
  </si>
  <si>
    <t xml:space="preserve">Workflow; Escalation; Ticket Template</t>
  </si>
  <si>
    <t xml:space="preserve">person-group</t>
  </si>
  <si>
    <t xml:space="preserve">M07-005</t>
  </si>
  <si>
    <t xml:space="preserve">Craft</t>
  </si>
  <si>
    <t xml:space="preserve">CRAFT</t>
  </si>
  <si>
    <t xml:space="preserve">A trade or type of worker, such as mechanic, electrician or instrument technician. Crafts drive planning and labor rates.</t>
  </si>
  <si>
    <t xml:space="preserve">Crafts app</t>
  </si>
  <si>
    <t xml:space="preserve">RWA uses MECH, ELEC, INST and OPER crafts.</t>
  </si>
  <si>
    <t xml:space="preserve">Labor; Skill Level; Labor Rate</t>
  </si>
  <si>
    <t xml:space="preserve">craft</t>
  </si>
  <si>
    <t xml:space="preserve">M07-006</t>
  </si>
  <si>
    <t xml:space="preserve">Skill Level</t>
  </si>
  <si>
    <t xml:space="preserve">A level within a craft, like apprentice or journeyman, often with a different rate.</t>
  </si>
  <si>
    <t xml:space="preserve">MECH has APPRENTICE and JOURNEYMAN skill levels.</t>
  </si>
  <si>
    <t xml:space="preserve">Craft; Labor Rate</t>
  </si>
  <si>
    <t xml:space="preserve">skill-level</t>
  </si>
  <si>
    <t xml:space="preserve">M07-007</t>
  </si>
  <si>
    <t xml:space="preserve">Qualification</t>
  </si>
  <si>
    <t xml:space="preserve">A certification or training a person must hold to do certain work, with expiry tracking.</t>
  </si>
  <si>
    <t xml:space="preserve">Qualifications app</t>
  </si>
  <si>
    <t xml:space="preserve">Only people with the CONFINED-SPACE qualification can be assigned to clearwell entry jobs.</t>
  </si>
  <si>
    <t xml:space="preserve">Labor; Safety Plan</t>
  </si>
  <si>
    <t xml:space="preserve">qualification</t>
  </si>
  <si>
    <t xml:space="preserve">M07-008</t>
  </si>
  <si>
    <t xml:space="preserve">Labor Rate</t>
  </si>
  <si>
    <t xml:space="preserve">The cost per hour of labor, which can come from the craft, the labor record or a contract.</t>
  </si>
  <si>
    <t xml:space="preserve">Crafts app; Labor app; Labor Rate Contracts</t>
  </si>
  <si>
    <t xml:space="preserve">MECH journeyman internal rate is $72 per hour.</t>
  </si>
  <si>
    <t xml:space="preserve">Craft; Planned vs Actual Cost</t>
  </si>
  <si>
    <t xml:space="preserve">labor-rate</t>
  </si>
  <si>
    <t xml:space="preserve">M07-009</t>
  </si>
  <si>
    <t xml:space="preserve">Crew / Crew Type</t>
  </si>
  <si>
    <t xml:space="preserve">A group of workers and tools that work together as a unit. Crew types define the makeup, crews are the actual teams.</t>
  </si>
  <si>
    <t xml:space="preserve">Crew Types app; Crews app</t>
  </si>
  <si>
    <t xml:space="preserve">Crew DIST-A is a 3-person main repair crew with a truck and excavator.</t>
  </si>
  <si>
    <t xml:space="preserve">Labor; Assignment</t>
  </si>
  <si>
    <t xml:space="preserve">crew-crew-type</t>
  </si>
  <si>
    <t xml:space="preserve">M07-010</t>
  </si>
  <si>
    <t xml:space="preserve">Outside Labor / Vendor Labor</t>
  </si>
  <si>
    <t xml:space="preserve">Labor provided by a contractor rather than an employee, often tied to a vendor and labor rate contract.</t>
  </si>
  <si>
    <t xml:space="preserve">Labor app (Vendor field); Labor Rate Contracts</t>
  </si>
  <si>
    <t xml:space="preserve">Contract electrician labor ELEC-CONT-01 is linked to vendor Brightline Electric.</t>
  </si>
  <si>
    <t xml:space="preserve">Labor Rate Contract; Company / Vendor</t>
  </si>
  <si>
    <t xml:space="preserve">outside-labor-vendor-labor</t>
  </si>
  <si>
    <t xml:space="preserve">M07-011</t>
  </si>
  <si>
    <t xml:space="preserve">Calendars</t>
  </si>
  <si>
    <t xml:space="preserve">Calendar</t>
  </si>
  <si>
    <t xml:space="preserve">A definition of working days and holidays used for scheduling labor and calculating PM dates.</t>
  </si>
  <si>
    <t xml:space="preserve">Calendars app</t>
  </si>
  <si>
    <t xml:space="preserve">RWA's DAYS calendar is Monday to Friday, excluding statutory holidays.</t>
  </si>
  <si>
    <t xml:space="preserve">Shift / Work Period</t>
  </si>
  <si>
    <t xml:space="preserve">calendar</t>
  </si>
  <si>
    <t xml:space="preserve">M07-012</t>
  </si>
  <si>
    <t xml:space="preserve">The hours people work on given days, stored in calendars and applied to labor.</t>
  </si>
  <si>
    <t xml:space="preserve">Shift DAY runs 07:00 to 15:30; NIGHT runs 19:00 to 07:00.</t>
  </si>
  <si>
    <t xml:space="preserve">Calendar; Labor</t>
  </si>
  <si>
    <t xml:space="preserve">shift-work-period</t>
  </si>
  <si>
    <t xml:space="preserve">M07-013</t>
  </si>
  <si>
    <t xml:space="preserve">Scheduling</t>
  </si>
  <si>
    <t xml:space="preserve">Planning vs Scheduling</t>
  </si>
  <si>
    <t xml:space="preserve">Planning defines what is needed to do the job (steps, parts, labor). Scheduling decides when it happens and who does it.</t>
  </si>
  <si>
    <t xml:space="preserve">Work Order Tracking (planning); Graphical Scheduling and Graphical Assignment (scheduling)</t>
  </si>
  <si>
    <t xml:space="preserve">A planner builds WO 50231's plan on Monday; the scheduler slots it for Tuesday morning with Dev.</t>
  </si>
  <si>
    <t xml:space="preserve">Job Plan; Assignment; Backlog</t>
  </si>
  <si>
    <t xml:space="preserve">Combining the two roles in one person is common, but it often means planning gets skipped when things get busy.</t>
  </si>
  <si>
    <t xml:space="preserve">planning-vs-scheduling</t>
  </si>
  <si>
    <t xml:space="preserve">M07-014</t>
  </si>
  <si>
    <t xml:space="preserve">Graphical Scheduling</t>
  </si>
  <si>
    <t xml:space="preserve">A Gantt chart view for scheduling large groups of work orders and their dependencies, often used for shutdowns and projects.</t>
  </si>
  <si>
    <t xml:space="preserve">Graphical Scheduling app (part of Maximo Scheduler capabilities)</t>
  </si>
  <si>
    <t xml:space="preserve">The TP1 annual shutdown with 37 child work orders is scheduled on a Gantt chart.</t>
  </si>
  <si>
    <t xml:space="preserve">Child Work Order / Work Package; Planning vs Scheduling</t>
  </si>
  <si>
    <t xml:space="preserve">graphical-scheduling</t>
  </si>
  <si>
    <t xml:space="preserve">M07-015</t>
  </si>
  <si>
    <t xml:space="preserve">Graphical Assignment</t>
  </si>
  <si>
    <t xml:space="preserve">A visual board for assigning daily and weekly work to people based on their availability and craft.</t>
  </si>
  <si>
    <t xml:space="preserve">Graphical Assignment app</t>
  </si>
  <si>
    <t xml:space="preserve">The supervisor drags WO 50231 onto Dev's Tuesday morning.</t>
  </si>
  <si>
    <t xml:space="preserve">Assignment; Dispatching</t>
  </si>
  <si>
    <t xml:space="preserve">graphical-assignment</t>
  </si>
  <si>
    <t xml:space="preserve">M07-016</t>
  </si>
  <si>
    <t xml:space="preserve">Schedule Compliance</t>
  </si>
  <si>
    <t xml:space="preserve">The percentage of scheduled work that was actually done as scheduled in a period. A key indicator of how well planning and scheduling are working.</t>
  </si>
  <si>
    <t xml:space="preserve">KPIs; Reports</t>
  </si>
  <si>
    <t xml:space="preserve">TP1 scheduled 80 work orders last week and finished 68 on time, for 85 percent compliance.</t>
  </si>
  <si>
    <t xml:space="preserve">KPI (Key Performance Indicator); Backlog; Planning vs Scheduling</t>
  </si>
  <si>
    <t xml:space="preserve">schedule-compliance</t>
  </si>
  <si>
    <t xml:space="preserve">M07-017</t>
  </si>
  <si>
    <t xml:space="preserve">Optimization (Scheduling)</t>
  </si>
  <si>
    <t xml:space="preserve">Using an optimization engine to automatically build schedules that respect labor, skills, locations and priorities.</t>
  </si>
  <si>
    <t xml:space="preserve">Maximo Optimizer (MAS)</t>
  </si>
  <si>
    <t xml:space="preserve">The optimizer builds next week's schedule for 18 technicians in minutes.</t>
  </si>
  <si>
    <t xml:space="preserve">Maximo Optimizer; Graphical Scheduling</t>
  </si>
  <si>
    <t xml:space="preserve">optimization-scheduling</t>
  </si>
  <si>
    <t xml:space="preserve">M08-001</t>
  </si>
  <si>
    <t xml:space="preserve">08 Finance and Cost</t>
  </si>
  <si>
    <t xml:space="preserve">Accounts</t>
  </si>
  <si>
    <t xml:space="preserve">GL Account</t>
  </si>
  <si>
    <t xml:space="preserve">GLACCOUNT</t>
  </si>
  <si>
    <t xml:space="preserve">A general ledger account code used to charge costs in Maximo so they line up with the finance system. Maximo builds the code from segments.</t>
  </si>
  <si>
    <t xml:space="preserve">Chart of Accounts app</t>
  </si>
  <si>
    <t xml:space="preserve">Maintenance costs on P-101 charge to 6100-TP1-INTAKE.</t>
  </si>
  <si>
    <t xml:space="preserve">GL Component / Segment; Chart of Accounts</t>
  </si>
  <si>
    <t xml:space="preserve">IBM Docs &gt; Maximo Manage &gt; Financial management</t>
  </si>
  <si>
    <t xml:space="preserve">gl-account</t>
  </si>
  <si>
    <t xml:space="preserve">M08-002</t>
  </si>
  <si>
    <t xml:space="preserve">GL Component / Segment</t>
  </si>
  <si>
    <t xml:space="preserve">Each piece of a GL account, such as department, cost center or activity, with its own valid values.</t>
  </si>
  <si>
    <t xml:space="preserve">Chart of Accounts app, GL Component Maintenance</t>
  </si>
  <si>
    <t xml:space="preserve">In 6100-TP1-INTAKE, 6100 is the expense type, TP1 the site and INTAKE the area.</t>
  </si>
  <si>
    <t xml:space="preserve">gl-component-segment</t>
  </si>
  <si>
    <t xml:space="preserve">M08-003</t>
  </si>
  <si>
    <t xml:space="preserve">Chart of Accounts</t>
  </si>
  <si>
    <t xml:space="preserve">The list of valid GL accounts and how they are structured for an organization.</t>
  </si>
  <si>
    <t xml:space="preserve">RWA loads its chart of accounts from the finance system so Maximo only allows valid codes.</t>
  </si>
  <si>
    <t xml:space="preserve">GL Account; Maximo Integration Framework (MIF)</t>
  </si>
  <si>
    <t xml:space="preserve">chart-of-accounts</t>
  </si>
  <si>
    <t xml:space="preserve">M08-004</t>
  </si>
  <si>
    <t xml:space="preserve">Default Accounts / Account Merging</t>
  </si>
  <si>
    <t xml:space="preserve">Rules that work out which GL account to charge based on the asset, location, work order and resource, combining pieces of each.</t>
  </si>
  <si>
    <t xml:space="preserve">Chart of Accounts; Organizations; Locations; Assets</t>
  </si>
  <si>
    <t xml:space="preserve">The asset's GL code supplies the area, the labor's craft supplies the expense type, and Maximo merges them.</t>
  </si>
  <si>
    <t xml:space="preserve">Most 'wrong account' problems come from these defaults, not from users typing the wrong code.</t>
  </si>
  <si>
    <t xml:space="preserve">default-accounts-account-merging</t>
  </si>
  <si>
    <t xml:space="preserve">M08-005</t>
  </si>
  <si>
    <t xml:space="preserve">Financial Period</t>
  </si>
  <si>
    <t xml:space="preserve">An accounting period in Maximo. Closing a period stops new transactions from being dated into it.</t>
  </si>
  <si>
    <t xml:space="preserve">Financial Periods app</t>
  </si>
  <si>
    <t xml:space="preserve">September 2026 is closed, so late labor gets posted to October.</t>
  </si>
  <si>
    <t xml:space="preserve">financial-period</t>
  </si>
  <si>
    <t xml:space="preserve">M08-006</t>
  </si>
  <si>
    <t xml:space="preserve">Currency Code / Exchange Rate</t>
  </si>
  <si>
    <t xml:space="preserve">Currency codes define each currency, and exchange rates convert foreign currency costs to the base currency.</t>
  </si>
  <si>
    <t xml:space="preserve">Currency Code app; Exchange Rates app</t>
  </si>
  <si>
    <t xml:space="preserve">A USD invoice converts to CAD using the rate on the receipt date.</t>
  </si>
  <si>
    <t xml:space="preserve">currency-code-exchange-rate</t>
  </si>
  <si>
    <t xml:space="preserve">M08-007</t>
  </si>
  <si>
    <t xml:space="preserve">Tax Code</t>
  </si>
  <si>
    <t xml:space="preserve">Tax rates and rules applied to purchasing and invoicing lines.</t>
  </si>
  <si>
    <t xml:space="preserve">Tax Codes (Organizations app)</t>
  </si>
  <si>
    <t xml:space="preserve">Ontario HST is set up as a tax code on PO lines.</t>
  </si>
  <si>
    <t xml:space="preserve">Purchase Order (PO); Invoice</t>
  </si>
  <si>
    <t xml:space="preserve">tax-code</t>
  </si>
  <si>
    <t xml:space="preserve">M08-008</t>
  </si>
  <si>
    <t xml:space="preserve">Cost</t>
  </si>
  <si>
    <t xml:space="preserve">Planned vs Actual Cost</t>
  </si>
  <si>
    <t xml:space="preserve">Planned cost comes from the plans on a work order; actual cost comes from labor, materials, services and tools really used. Comparing them shows how good estimates are.</t>
  </si>
  <si>
    <t xml:space="preserve">Work Order Tracking, View Costs</t>
  </si>
  <si>
    <t xml:space="preserve">WO 50231 was planned at $1,180 and actually cost $1,506 because the job ran 1.5 hours over.</t>
  </si>
  <si>
    <t xml:space="preserve">Plans Tab (Planned Work); Actuals Tab; Work Order Estimate / Estimated Cost</t>
  </si>
  <si>
    <t xml:space="preserve">planned-vs-actual-cost</t>
  </si>
  <si>
    <t xml:space="preserve">M08-009</t>
  </si>
  <si>
    <t xml:space="preserve">Life-to-date Cost</t>
  </si>
  <si>
    <t xml:space="preserve">The total maintenance cost recorded on an asset since it was put in, used for repair-or-replace decisions.</t>
  </si>
  <si>
    <t xml:space="preserve">Assets app (Costs)</t>
  </si>
  <si>
    <t xml:space="preserve">P-101 has $84,000 in life-to-date maintenance cost on a $120,000 pump.</t>
  </si>
  <si>
    <t xml:space="preserve">Rolled-up Costs; Total Cost of Ownership (TCO)</t>
  </si>
  <si>
    <t xml:space="preserve">life-to-date-cost</t>
  </si>
  <si>
    <t xml:space="preserve">M08-010</t>
  </si>
  <si>
    <t xml:space="preserve">Capital vs Operating Work</t>
  </si>
  <si>
    <t xml:space="preserve">Capital work adds or extends the life of an asset and is often capitalized; operating work keeps it running and is expensed. Work types and GL accounts usually separate them.</t>
  </si>
  <si>
    <t xml:space="preserve">Work types; GL accounts</t>
  </si>
  <si>
    <t xml:space="preserve">Replacing P-101 entirely is capital (CP); replacing its seal is operating (CM).</t>
  </si>
  <si>
    <t xml:space="preserve">Work Type; GL Account</t>
  </si>
  <si>
    <t xml:space="preserve">capital-vs-operating-work</t>
  </si>
  <si>
    <t xml:space="preserve">M08-011</t>
  </si>
  <si>
    <t xml:space="preserve">Budget Monitoring</t>
  </si>
  <si>
    <t xml:space="preserve">Tracking actual and committed spending against budgets inside Maximo.</t>
  </si>
  <si>
    <t xml:space="preserve">Budget Monitoring app</t>
  </si>
  <si>
    <t xml:space="preserve">TP1's maintenance budget shows 71 percent spent by October.</t>
  </si>
  <si>
    <t xml:space="preserve">GL Account; Planned vs Actual Cost</t>
  </si>
  <si>
    <t xml:space="preserve">Available in later 7.6 releases and in Manage; capabilities vary by version.</t>
  </si>
  <si>
    <t xml:space="preserve">budget-monitoring</t>
  </si>
  <si>
    <t xml:space="preserve">M08-012</t>
  </si>
  <si>
    <t xml:space="preserve">Asset Depreciation</t>
  </si>
  <si>
    <t xml:space="preserve">Spreading the cost of an asset over its useful life. Maximo can record depreciation schedules on assets.</t>
  </si>
  <si>
    <t xml:space="preserve">Assets app (depreciation details)</t>
  </si>
  <si>
    <t xml:space="preserve">P-101 is depreciated straight-line over 25 years.</t>
  </si>
  <si>
    <t xml:space="preserve">Asset; Capital vs Operating Work</t>
  </si>
  <si>
    <t xml:space="preserve">Many organizations do depreciation in the finance system instead and only keep reference data in Maximo.</t>
  </si>
  <si>
    <t xml:space="preserve">asset-depreciation</t>
  </si>
  <si>
    <t xml:space="preserve">M09-001</t>
  </si>
  <si>
    <t xml:space="preserve">09 Platform, Configuration and Administration</t>
  </si>
  <si>
    <t xml:space="preserve">Security</t>
  </si>
  <si>
    <t xml:space="preserve">Security Group</t>
  </si>
  <si>
    <t xml:space="preserve">GROUPNAME</t>
  </si>
  <si>
    <t xml:space="preserve">A set of permissions that controls which applications, actions, sites and data a user can access. Users get their access by belonging to groups.</t>
  </si>
  <si>
    <t xml:space="preserve">Security Groups app</t>
  </si>
  <si>
    <t xml:space="preserve">The TECH-TP1 group can view and update work orders at TP1 but cannot approve POs.</t>
  </si>
  <si>
    <t xml:space="preserve">User; Data Restriction; Start Center</t>
  </si>
  <si>
    <t xml:space="preserve">Giving everyone a few big groups is quick at first but hard to audit later. Role-based groups age better.</t>
  </si>
  <si>
    <t xml:space="preserve">In MAS 9.1, a security group application is also available at the suite level.</t>
  </si>
  <si>
    <t xml:space="preserve">IBM Docs &gt; Maximo Manage &gt; Configuring / Administering</t>
  </si>
  <si>
    <t xml:space="preserve">security-group</t>
  </si>
  <si>
    <t xml:space="preserve">M09-002</t>
  </si>
  <si>
    <t xml:space="preserve">Data Restriction</t>
  </si>
  <si>
    <t xml:space="preserve">Rules on a security group that hide or make read-only certain records, fields or values based on conditions.</t>
  </si>
  <si>
    <t xml:space="preserve">Security Groups app, Data Restrictions</t>
  </si>
  <si>
    <t xml:space="preserve">Technicians can see GL accounts on work orders but cannot change them.</t>
  </si>
  <si>
    <t xml:space="preserve">Security Group; Conditional Expression</t>
  </si>
  <si>
    <t xml:space="preserve">data-restriction</t>
  </si>
  <si>
    <t xml:space="preserve">M09-003</t>
  </si>
  <si>
    <t xml:space="preserve">Conditional Expression</t>
  </si>
  <si>
    <t xml:space="preserve">A saved rule, written in SQL-like logic or as a custom class, that other features use to decide when something applies.</t>
  </si>
  <si>
    <t xml:space="preserve">Conditional Expression Manager app</t>
  </si>
  <si>
    <t xml:space="preserve">Condition ISPRIORITY1 is true when the work order priority is 1, and is used to show a red banner.</t>
  </si>
  <si>
    <t xml:space="preserve">Data Restriction; Application Designer; Workflow</t>
  </si>
  <si>
    <t xml:space="preserve">conditional-expression</t>
  </si>
  <si>
    <t xml:space="preserve">M09-004</t>
  </si>
  <si>
    <t xml:space="preserve">Configuration</t>
  </si>
  <si>
    <t xml:space="preserve">Domain</t>
  </si>
  <si>
    <t xml:space="preserve">DOMAINID</t>
  </si>
  <si>
    <t xml:space="preserve">A list of allowed values for a field. Types include ALN (text list), Numeric, Synonym, Table and Crossover.</t>
  </si>
  <si>
    <t xml:space="preserve">Domains app</t>
  </si>
  <si>
    <t xml:space="preserve">The domain WORKTYPE lists CM, PM, EM, CP and EV.</t>
  </si>
  <si>
    <t xml:space="preserve">Synonym Domain; Database Configuration</t>
  </si>
  <si>
    <t xml:space="preserve">domain</t>
  </si>
  <si>
    <t xml:space="preserve">M09-005</t>
  </si>
  <si>
    <t xml:space="preserve">Synonym Domain</t>
  </si>
  <si>
    <t xml:space="preserve">A special domain where Maximo's internal values are mapped to user-facing synonyms. Maximo's logic runs on the internal value.</t>
  </si>
  <si>
    <t xml:space="preserve">An organization adds WAITPARTS as a synonym for the internal value WMATL.</t>
  </si>
  <si>
    <t xml:space="preserve">Domain; Status</t>
  </si>
  <si>
    <t xml:space="preserve">You cannot delete or rename the internal values, only add synonyms for them.</t>
  </si>
  <si>
    <t xml:space="preserve">synonym-domain</t>
  </si>
  <si>
    <t xml:space="preserve">M09-006</t>
  </si>
  <si>
    <t xml:space="preserve">Table Domain / Crossover Domain</t>
  </si>
  <si>
    <t xml:space="preserve">A table domain pulls valid values from another table using a condition. A crossover domain copies values from one record into fields on another.</t>
  </si>
  <si>
    <t xml:space="preserve">A crossover domain copies the asset's priority onto the work order when the asset is entered.</t>
  </si>
  <si>
    <t xml:space="preserve">table-domain-crossover-domain</t>
  </si>
  <si>
    <t xml:space="preserve">M09-007</t>
  </si>
  <si>
    <t xml:space="preserve">Database Configuration</t>
  </si>
  <si>
    <t xml:space="preserve">The application for changing Maximo's data model: adding objects, attributes, relationships and indexes.</t>
  </si>
  <si>
    <t xml:space="preserve">Database Configuration app</t>
  </si>
  <si>
    <t xml:space="preserve">RWA adds a field WATERSOURCE to the location object.</t>
  </si>
  <si>
    <t xml:space="preserve">Object (Maximo Business Object / MBO); Attribute; Relationship; Application Designer</t>
  </si>
  <si>
    <t xml:space="preserve">Changes here often need a database update step and, in MAS, careful handling through the Manage deployment process.</t>
  </si>
  <si>
    <t xml:space="preserve">database-configuration</t>
  </si>
  <si>
    <t xml:space="preserve">M09-008</t>
  </si>
  <si>
    <t xml:space="preserve">Object (Maximo Business Object / MBO)</t>
  </si>
  <si>
    <t xml:space="preserve">The definition of a type of data in Maximo, such as WORKORDER or ASSET, with its attributes and business logic.</t>
  </si>
  <si>
    <t xml:space="preserve">WORKORDER is the object behind the Work Order Tracking app.</t>
  </si>
  <si>
    <t xml:space="preserve">Database Configuration; Relationship; Object Structure</t>
  </si>
  <si>
    <t xml:space="preserve">object-maximo-business-object-mbo</t>
  </si>
  <si>
    <t xml:space="preserve">M09-009</t>
  </si>
  <si>
    <t xml:space="preserve">Relationship</t>
  </si>
  <si>
    <t xml:space="preserve">A defined link between two objects, used in the UI, reports, conditions and integrations to pull related data.</t>
  </si>
  <si>
    <t xml:space="preserve">Database Configuration app, Relationships tab</t>
  </si>
  <si>
    <t xml:space="preserve">Relationship ASSET on WORKORDER links each work order to its asset.</t>
  </si>
  <si>
    <t xml:space="preserve">Object (Maximo Business Object / MBO); Database Configuration</t>
  </si>
  <si>
    <t xml:space="preserve">relationship</t>
  </si>
  <si>
    <t xml:space="preserve">M09-010</t>
  </si>
  <si>
    <t xml:space="preserve">Application Designer</t>
  </si>
  <si>
    <t xml:space="preserve">A tool for changing Maximo screens: adding fields, tabs, sections and buttons, and controlling what shows when.</t>
  </si>
  <si>
    <t xml:space="preserve">Application Designer app</t>
  </si>
  <si>
    <t xml:space="preserve">RWA adds the WATERSOURCE field to the Locations main tab.</t>
  </si>
  <si>
    <t xml:space="preserve">Database Configuration; Signature Option; Conditional Expression</t>
  </si>
  <si>
    <t xml:space="preserve">application-designer</t>
  </si>
  <si>
    <t xml:space="preserve">M09-011</t>
  </si>
  <si>
    <t xml:space="preserve">Signature Option</t>
  </si>
  <si>
    <t xml:space="preserve">A named permission tied to an action or UI element, granted to security groups.</t>
  </si>
  <si>
    <t xml:space="preserve">Application Designer; Security Groups app</t>
  </si>
  <si>
    <t xml:space="preserve">Only supervisors have the signature option to approve emergency work orders.</t>
  </si>
  <si>
    <t xml:space="preserve">Security Group; Application Designer</t>
  </si>
  <si>
    <t xml:space="preserve">signature-option</t>
  </si>
  <si>
    <t xml:space="preserve">M09-012</t>
  </si>
  <si>
    <t xml:space="preserve">System Property</t>
  </si>
  <si>
    <t xml:space="preserve">A setting that controls how Maximo behaves, like email servers, attachment paths and feature switches.</t>
  </si>
  <si>
    <t xml:space="preserve">System Properties app</t>
  </si>
  <si>
    <t xml:space="preserve">mxe.int.dfltuser sets the default integration user.</t>
  </si>
  <si>
    <t xml:space="preserve">Logging</t>
  </si>
  <si>
    <t xml:space="preserve">Some properties need a restart or a refresh to take effect.</t>
  </si>
  <si>
    <t xml:space="preserve">system-property</t>
  </si>
  <si>
    <t xml:space="preserve">M09-013</t>
  </si>
  <si>
    <t xml:space="preserve">Automation</t>
  </si>
  <si>
    <t xml:space="preserve">Workflow</t>
  </si>
  <si>
    <t xml:space="preserve">A defined process that routes records between people and steps, with approvals, conditions and notifications.</t>
  </si>
  <si>
    <t xml:space="preserve">Workflow Designer app; Workflow Administration</t>
  </si>
  <si>
    <t xml:space="preserve">Work orders over $5,000 route to the plant manager before approval.</t>
  </si>
  <si>
    <t xml:space="preserve">Escalation; Person Group; Communication Template</t>
  </si>
  <si>
    <t xml:space="preserve">workflow</t>
  </si>
  <si>
    <t xml:space="preserve">M09-014</t>
  </si>
  <si>
    <t xml:space="preserve">Escalation</t>
  </si>
  <si>
    <t xml:space="preserve">A rule that runs on a schedule, checks records against a condition and takes action, such as sending emails or changing status.</t>
  </si>
  <si>
    <t xml:space="preserve">Escalations app</t>
  </si>
  <si>
    <t xml:space="preserve">If a priority 1 SR is not acknowledged within 1 hour, the on-call supervisor gets an email.</t>
  </si>
  <si>
    <t xml:space="preserve">Workflow; Cron Task; Service Level Agreement (SLA)</t>
  </si>
  <si>
    <t xml:space="preserve">escalation</t>
  </si>
  <si>
    <t xml:space="preserve">M09-015</t>
  </si>
  <si>
    <t xml:space="preserve">Action</t>
  </si>
  <si>
    <t xml:space="preserve">A defined step Maximo can perform, like changing status or setting a value, used by workflows and escalations.</t>
  </si>
  <si>
    <t xml:space="preserve">Actions app</t>
  </si>
  <si>
    <t xml:space="preserve">Action SETAPPR changes a work order's status to APPR.</t>
  </si>
  <si>
    <t xml:space="preserve">Workflow; Escalation</t>
  </si>
  <si>
    <t xml:space="preserve">action</t>
  </si>
  <si>
    <t xml:space="preserve">M09-016</t>
  </si>
  <si>
    <t xml:space="preserve">Role</t>
  </si>
  <si>
    <t xml:space="preserve">A dynamic way to find the right person for a workflow step or notification, like 'supervisor of the work order's owner group'.</t>
  </si>
  <si>
    <t xml:space="preserve">Roles app</t>
  </si>
  <si>
    <t xml:space="preserve">Role WOSUPV resolves to whoever supervises the assigned crew.</t>
  </si>
  <si>
    <t xml:space="preserve">Workflow; Person Group</t>
  </si>
  <si>
    <t xml:space="preserve">role</t>
  </si>
  <si>
    <t xml:space="preserve">M09-017</t>
  </si>
  <si>
    <t xml:space="preserve">Communication Template</t>
  </si>
  <si>
    <t xml:space="preserve">A reusable email or notification message with placeholders filled in from the record.</t>
  </si>
  <si>
    <t xml:space="preserve">Communication Templates app</t>
  </si>
  <si>
    <t xml:space="preserve">Template SR-RECEIVED emails the requester: 'Your request :ticketid has been received.'</t>
  </si>
  <si>
    <t xml:space="preserve">Escalation; Workflow</t>
  </si>
  <si>
    <t xml:space="preserve">communication-template</t>
  </si>
  <si>
    <t xml:space="preserve">M09-018</t>
  </si>
  <si>
    <t xml:space="preserve">Automation Script</t>
  </si>
  <si>
    <t xml:space="preserve">Custom logic, most often written in Jython or JavaScript, that runs inside Maximo on events, actions, attributes or integrations, without building Java classes.</t>
  </si>
  <si>
    <t xml:space="preserve">Automation Scripts app</t>
  </si>
  <si>
    <t xml:space="preserve">A script blocks a work order from going COMP if failure codes are missing.</t>
  </si>
  <si>
    <t xml:space="preserve">Launch Point; Conditional Expression</t>
  </si>
  <si>
    <t xml:space="preserve">Scripts make customization easy, which is also why sites end up with hundreds that nobody documented.</t>
  </si>
  <si>
    <t xml:space="preserve">Supported script engines and versions change by release, so check the documentation for your exact version.</t>
  </si>
  <si>
    <t xml:space="preserve">automation-script</t>
  </si>
  <si>
    <t xml:space="preserve">M09-019</t>
  </si>
  <si>
    <t xml:space="preserve">Launch Point</t>
  </si>
  <si>
    <t xml:space="preserve">The trigger that tells an automation script when to run, such as on object save, attribute change or an action.</t>
  </si>
  <si>
    <t xml:space="preserve">The failure code check runs on the WORKORDER object save launch point.</t>
  </si>
  <si>
    <t xml:space="preserve">launch-point</t>
  </si>
  <si>
    <t xml:space="preserve">M09-020</t>
  </si>
  <si>
    <t xml:space="preserve">Cron Task</t>
  </si>
  <si>
    <t xml:space="preserve">A background job that runs on a schedule, such as PM work order generation, reorder, escalations or integration processing.</t>
  </si>
  <si>
    <t xml:space="preserve">Cron Task Setup app</t>
  </si>
  <si>
    <t xml:space="preserve">The PM work order generation cron runs nightly at 01:00.</t>
  </si>
  <si>
    <t xml:space="preserve">Preventive Maintenance (PM) Record; Reorder (Process); Escalation</t>
  </si>
  <si>
    <t xml:space="preserve">cron-task</t>
  </si>
  <si>
    <t xml:space="preserve">M09-021</t>
  </si>
  <si>
    <t xml:space="preserve">Administration</t>
  </si>
  <si>
    <t xml:space="preserve">Settings that control what Maximo writes to its logs, used to troubleshoot problems.</t>
  </si>
  <si>
    <t xml:space="preserve">Logging app; MAS logging and monitoring tools</t>
  </si>
  <si>
    <t xml:space="preserve">An admin turns on SQL logging to find a slow query.</t>
  </si>
  <si>
    <t xml:space="preserve">MAS adds platform-level logging and monitoring on OpenShift.</t>
  </si>
  <si>
    <t xml:space="preserve">logging</t>
  </si>
  <si>
    <t xml:space="preserve">M09-022</t>
  </si>
  <si>
    <t xml:space="preserve">Migration Manager</t>
  </si>
  <si>
    <t xml:space="preserve">A tool for packaging configuration changes (like domains, apps and scripts) and moving them between environments.</t>
  </si>
  <si>
    <t xml:space="preserve">Migration Manager app</t>
  </si>
  <si>
    <t xml:space="preserve">A new work order screen is built in DEV, packaged and moved to TEST, then PROD.</t>
  </si>
  <si>
    <t xml:space="preserve">Database Configuration; Application Designer</t>
  </si>
  <si>
    <t xml:space="preserve">migration-manager</t>
  </si>
  <si>
    <t xml:space="preserve">M09-023</t>
  </si>
  <si>
    <t xml:space="preserve">Environment (DEV / TEST / PROD)</t>
  </si>
  <si>
    <t xml:space="preserve">Separate copies of Maximo used to build, test and run the system, so changes are proven before going live.</t>
  </si>
  <si>
    <t xml:space="preserve">Infrastructure / MAS workspaces or instances</t>
  </si>
  <si>
    <t xml:space="preserve">RWA tests every configuration change in TEST before moving it to PROD.</t>
  </si>
  <si>
    <t xml:space="preserve">Migration Manager; Instance</t>
  </si>
  <si>
    <t xml:space="preserve">environment-dev-test-prod</t>
  </si>
  <si>
    <t xml:space="preserve">M10-001</t>
  </si>
  <si>
    <t xml:space="preserve">10 Integration, Data and Reporting</t>
  </si>
  <si>
    <t xml:space="preserve">Integration</t>
  </si>
  <si>
    <t xml:space="preserve">Maximo Integration Framework (MIF)</t>
  </si>
  <si>
    <t xml:space="preserve">MIF</t>
  </si>
  <si>
    <t xml:space="preserve">The built-in set of tools for sending data to and receiving data from other systems, like ERP, GIS or SCADA.</t>
  </si>
  <si>
    <t xml:space="preserve">Integration module (Object Structures, Publish Channels, Enterprise Services, External Systems, End Points)</t>
  </si>
  <si>
    <t xml:space="preserve">RWA's finance system receives Maximo receipts and invoices through MIF.</t>
  </si>
  <si>
    <t xml:space="preserve">Object Structure; Publish Channel; Enterprise Service; REST API / JSON API</t>
  </si>
  <si>
    <t xml:space="preserve">IBM Docs &gt; Maximo Manage &gt; Integrating data with external applications / Reporting</t>
  </si>
  <si>
    <t xml:space="preserve">maximo-integration-framework-mif</t>
  </si>
  <si>
    <t xml:space="preserve">M10-002</t>
  </si>
  <si>
    <t xml:space="preserve">Object Structure</t>
  </si>
  <si>
    <t xml:space="preserve">A defined bundle of related objects and fields that integration uses as its message format, such as a work order with its tasks and labor.</t>
  </si>
  <si>
    <t xml:space="preserve">Object Structures app</t>
  </si>
  <si>
    <t xml:space="preserve">MXWO includes the work order and related records for integration.</t>
  </si>
  <si>
    <t xml:space="preserve">Maximo Integration Framework (MIF); REST API / JSON API</t>
  </si>
  <si>
    <t xml:space="preserve">Object structures are also what the REST API exposes, so they do double duty.</t>
  </si>
  <si>
    <t xml:space="preserve">object-structure</t>
  </si>
  <si>
    <t xml:space="preserve">M10-003</t>
  </si>
  <si>
    <t xml:space="preserve">Publish Channel</t>
  </si>
  <si>
    <t xml:space="preserve">An outbound integration that sends data from Maximo to another system when records change.</t>
  </si>
  <si>
    <t xml:space="preserve">Publish Channels app</t>
  </si>
  <si>
    <t xml:space="preserve">When a PO is approved, a publish channel sends it to the finance system.</t>
  </si>
  <si>
    <t xml:space="preserve">Maximo Integration Framework (MIF); External System; End Point / Handler</t>
  </si>
  <si>
    <t xml:space="preserve">publish-channel</t>
  </si>
  <si>
    <t xml:space="preserve">M10-004</t>
  </si>
  <si>
    <t xml:space="preserve">Enterprise Service</t>
  </si>
  <si>
    <t xml:space="preserve">An inbound integration that accepts data from another system and creates or updates records in Maximo.</t>
  </si>
  <si>
    <t xml:space="preserve">Enterprise Services app</t>
  </si>
  <si>
    <t xml:space="preserve">The HR system sends new employees through an enterprise service that creates person records.</t>
  </si>
  <si>
    <t xml:space="preserve">Maximo Integration Framework (MIF); External System</t>
  </si>
  <si>
    <t xml:space="preserve">enterprise-service</t>
  </si>
  <si>
    <t xml:space="preserve">M10-005</t>
  </si>
  <si>
    <t xml:space="preserve">Invocation Channel</t>
  </si>
  <si>
    <t xml:space="preserve">An integration that calls out to another system and waits for a response, like asking a GIS for coordinates.</t>
  </si>
  <si>
    <t xml:space="preserve">Invocation Channels app</t>
  </si>
  <si>
    <t xml:space="preserve">Maximo calls the GIS to look up the nearest valve to a reported leak.</t>
  </si>
  <si>
    <t xml:space="preserve">Maximo Integration Framework (MIF); End Point / Handler</t>
  </si>
  <si>
    <t xml:space="preserve">invocation-channel</t>
  </si>
  <si>
    <t xml:space="preserve">M10-006</t>
  </si>
  <si>
    <t xml:space="preserve">External System</t>
  </si>
  <si>
    <t xml:space="preserve">A record representing another system Maximo talks to, grouping its channels, services and settings.</t>
  </si>
  <si>
    <t xml:space="preserve">External Systems app</t>
  </si>
  <si>
    <t xml:space="preserve">EXT-FINANCE groups all finance integrations.</t>
  </si>
  <si>
    <t xml:space="preserve">Publish Channel; Enterprise Service; End Point / Handler</t>
  </si>
  <si>
    <t xml:space="preserve">external-system</t>
  </si>
  <si>
    <t xml:space="preserve">M10-007</t>
  </si>
  <si>
    <t xml:space="preserve">End Point / Handler</t>
  </si>
  <si>
    <t xml:space="preserve">The technical connection details for sending data, such as HTTP, JMS, Kafka or file, plus credentials.</t>
  </si>
  <si>
    <t xml:space="preserve">End Points app</t>
  </si>
  <si>
    <t xml:space="preserve">EXT-FINANCE uses an HTTP end point with OAuth.</t>
  </si>
  <si>
    <t xml:space="preserve">MAS supports Kafka handlers for event-based integrations; JMS is typically external in MAS.</t>
  </si>
  <si>
    <t xml:space="preserve">end-point-handler</t>
  </si>
  <si>
    <t xml:space="preserve">M10-008</t>
  </si>
  <si>
    <t xml:space="preserve">REST API / JSON API</t>
  </si>
  <si>
    <t xml:space="preserve">A web API that lets other applications read and update Maximo data using JSON over HTTP, based on object structures.</t>
  </si>
  <si>
    <t xml:space="preserve">REST API (OSLC-based) and API keys</t>
  </si>
  <si>
    <t xml:space="preserve">A dashboard app pulls open priority 1 work orders using the REST API.</t>
  </si>
  <si>
    <t xml:space="preserve">Object Structure; API Key</t>
  </si>
  <si>
    <t xml:space="preserve">rest-api-json-api</t>
  </si>
  <si>
    <t xml:space="preserve">M10-009</t>
  </si>
  <si>
    <t xml:space="preserve">API Key</t>
  </si>
  <si>
    <t xml:space="preserve">A token used to authenticate integrations and scripts calling Maximo APIs, instead of a username and password.</t>
  </si>
  <si>
    <t xml:space="preserve">Administration &gt; API Keys</t>
  </si>
  <si>
    <t xml:space="preserve">The reporting tool uses an API key tied to integration user MXINTADM.</t>
  </si>
  <si>
    <t xml:space="preserve">REST API / JSON API; Security Group</t>
  </si>
  <si>
    <t xml:space="preserve">api-key</t>
  </si>
  <si>
    <t xml:space="preserve">M10-010</t>
  </si>
  <si>
    <t xml:space="preserve">Message Reprocessing</t>
  </si>
  <si>
    <t xml:space="preserve">Where failed integration messages are stored so they can be fixed and resent.</t>
  </si>
  <si>
    <t xml:space="preserve">Message Reprocessing app</t>
  </si>
  <si>
    <t xml:space="preserve">A PO failed because a vendor code was missing in finance; after fixing it, the message is reprocessed.</t>
  </si>
  <si>
    <t xml:space="preserve">message-reprocessing</t>
  </si>
  <si>
    <t xml:space="preserve">M10-011</t>
  </si>
  <si>
    <t xml:space="preserve">Data</t>
  </si>
  <si>
    <t xml:space="preserve">Data Loading</t>
  </si>
  <si>
    <t xml:space="preserve">Bringing bulk data into Maximo, such as assets during go-live, typically through integration tools, the REST API or partner utilities.</t>
  </si>
  <si>
    <t xml:space="preserve">MIF; REST API; partner tools</t>
  </si>
  <si>
    <t xml:space="preserve">RWA loads 14,000 assets from spreadsheets before go-live.</t>
  </si>
  <si>
    <t xml:space="preserve">Object Structure; Data Quality</t>
  </si>
  <si>
    <t xml:space="preserve">Data loading takes far longer than people expect, mostly because of cleanup, not the load itself.</t>
  </si>
  <si>
    <t xml:space="preserve">data-loading</t>
  </si>
  <si>
    <t xml:space="preserve">M10-012</t>
  </si>
  <si>
    <t xml:space="preserve">Data Quality</t>
  </si>
  <si>
    <t xml:space="preserve">How complete, accurate and consistent Maximo data is. It decides whether reports and AI tools like Health and Predict can be trusted.</t>
  </si>
  <si>
    <t xml:space="preserve">All applications; Maximo Health data checks</t>
  </si>
  <si>
    <t xml:space="preserve">Half of RWA's pumps have no classification, so fleet-wide pump reports are unreliable.</t>
  </si>
  <si>
    <t xml:space="preserve">Classification; Failure Code / Failure Class; Data Loading</t>
  </si>
  <si>
    <t xml:space="preserve">data-quality</t>
  </si>
  <si>
    <t xml:space="preserve">M10-013</t>
  </si>
  <si>
    <t xml:space="preserve">Reporting</t>
  </si>
  <si>
    <t xml:space="preserve">BIRT Report</t>
  </si>
  <si>
    <t xml:space="preserve">The standard reporting tool built into Maximo for formatted operational reports like work order prints and PO forms.</t>
  </si>
  <si>
    <t xml:space="preserve">Report Administration app</t>
  </si>
  <si>
    <t xml:space="preserve">The WO print report shows tasks, safety plan and spare parts for the technician.</t>
  </si>
  <si>
    <t xml:space="preserve">Report Administration; Cognos / Analytics</t>
  </si>
  <si>
    <t xml:space="preserve">birt-report</t>
  </si>
  <si>
    <t xml:space="preserve">M10-014</t>
  </si>
  <si>
    <t xml:space="preserve">Report Administration</t>
  </si>
  <si>
    <t xml:space="preserve">The application where reports are registered, given security and scheduled.</t>
  </si>
  <si>
    <t xml:space="preserve">RWA schedules a weekly backlog report emailed to supervisors every Monday.</t>
  </si>
  <si>
    <t xml:space="preserve">report-administration</t>
  </si>
  <si>
    <t xml:space="preserve">M10-015</t>
  </si>
  <si>
    <t xml:space="preserve">Ad Hoc Report (Query Based Report)</t>
  </si>
  <si>
    <t xml:space="preserve">A simple report users can build themselves from a list view without needing a developer.</t>
  </si>
  <si>
    <t xml:space="preserve">Run Reports &gt; Create Report</t>
  </si>
  <si>
    <t xml:space="preserve">A planner builds a quick report of overdue PMs for her site.</t>
  </si>
  <si>
    <t xml:space="preserve">BIRT Report; Query / Saved Query</t>
  </si>
  <si>
    <t xml:space="preserve">ad-hoc-report-query-based-report</t>
  </si>
  <si>
    <t xml:space="preserve">M10-016</t>
  </si>
  <si>
    <t xml:space="preserve">KPI (Key Performance Indicator)</t>
  </si>
  <si>
    <t xml:space="preserve">A measure tracked over time, like PM compliance, MTTR or backlog, shown on Start Centers with targets.</t>
  </si>
  <si>
    <t xml:space="preserve">KPI Manager app; Start Center KPI portlets</t>
  </si>
  <si>
    <t xml:space="preserve">TP1's PM compliance KPI shows 91 percent against a 95 percent target.</t>
  </si>
  <si>
    <t xml:space="preserve">Start Center; PM Compliance; Schedule Compliance</t>
  </si>
  <si>
    <t xml:space="preserve">kpi-key-performance-indicator</t>
  </si>
  <si>
    <t xml:space="preserve">M10-017</t>
  </si>
  <si>
    <t xml:space="preserve">Result Set</t>
  </si>
  <si>
    <t xml:space="preserve">A Start Center portlet showing records from a saved query, with optional color coding.</t>
  </si>
  <si>
    <t xml:space="preserve">Start Center Result Set portlet</t>
  </si>
  <si>
    <t xml:space="preserve">Ana's Start Center shows overdue PMs in red.</t>
  </si>
  <si>
    <t xml:space="preserve">Start Center; Query / Saved Query</t>
  </si>
  <si>
    <t xml:space="preserve">result-set</t>
  </si>
  <si>
    <t xml:space="preserve">M10-018</t>
  </si>
  <si>
    <t xml:space="preserve">Cognos / Analytics</t>
  </si>
  <si>
    <t xml:space="preserve">Enterprise analytics tools that can report on Maximo data for deeper or cross-system analysis.</t>
  </si>
  <si>
    <t xml:space="preserve">IBM Cognos Analytics (integration with Maximo)</t>
  </si>
  <si>
    <t xml:space="preserve">Head office uses Cognos dashboards combining Maximo costs with finance data.</t>
  </si>
  <si>
    <t xml:space="preserve">BIRT Report; KPI (Key Performance Indicator)</t>
  </si>
  <si>
    <t xml:space="preserve">cognos-analytics</t>
  </si>
  <si>
    <t xml:space="preserve">M11-001</t>
  </si>
  <si>
    <t xml:space="preserve">11 MAS Platform, Deployment and Licensing</t>
  </si>
  <si>
    <t xml:space="preserve">Suite basics</t>
  </si>
  <si>
    <t xml:space="preserve">Maximo Application Suite (MAS)</t>
  </si>
  <si>
    <t xml:space="preserve">MAS</t>
  </si>
  <si>
    <t xml:space="preserve">IBM's current platform for Maximo. It brings Manage (the classic Maximo EAM) together with monitoring, health, prediction, visual inspection, mobile and more, under one login and one licensing model.</t>
  </si>
  <si>
    <t xml:space="preserve">MAS Suite administration and navigator</t>
  </si>
  <si>
    <t xml:space="preserve">RWA moves from Maximo 7.6 to MAS and gets Manage plus Health and Mobile under the same license.</t>
  </si>
  <si>
    <t xml:space="preserve">Maximo Manage; AppPoints; Red Hat OpenShift</t>
  </si>
  <si>
    <t xml:space="preserve">MAS is not just a new version number. The architecture, install process and licensing are all different from 7.6.</t>
  </si>
  <si>
    <t xml:space="preserve">MAS 9.2 became generally available in June 2026. Always check IBM Docs for the latest release.</t>
  </si>
  <si>
    <t xml:space="preserve">IBM Docs &gt; Maximo Application Suite &gt; Planning / Installing / Licensing</t>
  </si>
  <si>
    <t xml:space="preserve">maximo-application-suite-mas</t>
  </si>
  <si>
    <t xml:space="preserve">M11-002</t>
  </si>
  <si>
    <t xml:space="preserve">Maximo Asset Management 7.6 (Legacy Maximo)</t>
  </si>
  <si>
    <t xml:space="preserve">MAM 7.6</t>
  </si>
  <si>
    <t xml:space="preserve">The previous generation of Maximo, run as a single application on traditional application servers. It is the version most long-time users learned on.</t>
  </si>
  <si>
    <t xml:space="preserve">Legacy installs</t>
  </si>
  <si>
    <t xml:space="preserve">RWA ran 7.6.1.3 on WebSphere before upgrading.</t>
  </si>
  <si>
    <t xml:space="preserve">Maximo Application Suite (MAS); Maximo Manage; Upgrade (7.6 to MAS)</t>
  </si>
  <si>
    <t xml:space="preserve">IBM ended base support for 7.6.1.x on September 30, 2025, and extended support was announced to run to September 30, 2026. IBM has published direct upgrade paths to MAS 9.1 from 7.6.0.10, 7.6.1.2 and 7.6.1.3.</t>
  </si>
  <si>
    <t xml:space="preserve">maximo-asset-management-7-6-legacy-maximo</t>
  </si>
  <si>
    <t xml:space="preserve">M11-003</t>
  </si>
  <si>
    <t xml:space="preserve">Maximo Manage</t>
  </si>
  <si>
    <t xml:space="preserve">Manage</t>
  </si>
  <si>
    <t xml:space="preserve">The core application in MAS for asset, work, inventory, purchasing and service management. Most of what people mean by 'Maximo' lives here.</t>
  </si>
  <si>
    <t xml:space="preserve">MAS &gt; Manage</t>
  </si>
  <si>
    <t xml:space="preserve">Everything in modules 01 to 10 of this list is done in Manage.</t>
  </si>
  <si>
    <t xml:space="preserve">Maximo Application Suite (MAS); Industry Solution</t>
  </si>
  <si>
    <t xml:space="preserve">maximo-manage</t>
  </si>
  <si>
    <t xml:space="preserve">M11-004</t>
  </si>
  <si>
    <t xml:space="preserve">Upgrade (7.6 to MAS)</t>
  </si>
  <si>
    <t xml:space="preserve">Moving an existing Maximo 7.6 system and its data and customizations onto MAS. It involves new infrastructure, a database upgrade, reviewing customizations and retraining users.</t>
  </si>
  <si>
    <t xml:space="preserve">MAS installation and Manage upgrade tooling</t>
  </si>
  <si>
    <t xml:space="preserve">RWA copies its 7.6 production database, upgrades it into a MAS Manage workspace, then tests for six weeks.</t>
  </si>
  <si>
    <t xml:space="preserve">Maximo Asset Management 7.6 (Legacy Maximo); Automation Script; Red Hat OpenShift</t>
  </si>
  <si>
    <t xml:space="preserve">The database upgrade is usually the easy part. Custom Java code, integrations and reports cause most of the delays.</t>
  </si>
  <si>
    <t xml:space="preserve">upgrade-7-6-to-mas</t>
  </si>
  <si>
    <t xml:space="preserve">M11-005</t>
  </si>
  <si>
    <t xml:space="preserve">Architecture</t>
  </si>
  <si>
    <t xml:space="preserve">Red Hat OpenShift</t>
  </si>
  <si>
    <t xml:space="preserve">The Kubernetes-based container platform MAS runs on. It lets MAS run the same way on-premises or in any major cloud.</t>
  </si>
  <si>
    <t xml:space="preserve">Infrastructure layer</t>
  </si>
  <si>
    <t xml:space="preserve">RWA runs MAS on an OpenShift cluster in a Canadian cloud region.</t>
  </si>
  <si>
    <t xml:space="preserve">Container / Microservices; Operator; Maximo Application Suite (MAS)</t>
  </si>
  <si>
    <t xml:space="preserve">red-hat-openshift</t>
  </si>
  <si>
    <t xml:space="preserve">M11-006</t>
  </si>
  <si>
    <t xml:space="preserve">Container / Microservices</t>
  </si>
  <si>
    <t xml:space="preserve">MAS is broken into many smaller services running in containers instead of one large application. This makes updates and scaling more flexible.</t>
  </si>
  <si>
    <t xml:space="preserve">OpenShift</t>
  </si>
  <si>
    <t xml:space="preserve">Manage, Health and Mobile each run as their own sets of containers.</t>
  </si>
  <si>
    <t xml:space="preserve">Red Hat OpenShift; Operator</t>
  </si>
  <si>
    <t xml:space="preserve">7.6 was one monolithic application on WebSphere or WebLogic; MAS uses WebSphere Liberty inside containers.</t>
  </si>
  <si>
    <t xml:space="preserve">container-microservices</t>
  </si>
  <si>
    <t xml:space="preserve">M11-007</t>
  </si>
  <si>
    <t xml:space="preserve">Operator</t>
  </si>
  <si>
    <t xml:space="preserve">A piece of software on OpenShift that installs, configures and updates an application automatically. MAS and each of its apps are managed by operators.</t>
  </si>
  <si>
    <t xml:space="preserve">OpenShift OperatorHub; IBM Maximo Operator Catalog</t>
  </si>
  <si>
    <t xml:space="preserve">The Manage operator rolls out a fix pack without manual server work.</t>
  </si>
  <si>
    <t xml:space="preserve">operator</t>
  </si>
  <si>
    <t xml:space="preserve">M11-008</t>
  </si>
  <si>
    <t xml:space="preserve">MAS Core / Suite Administration</t>
  </si>
  <si>
    <t xml:space="preserve">The central part of MAS that handles users, workspaces, application entitlement, configuration and the suite navigator.</t>
  </si>
  <si>
    <t xml:space="preserve">MAS Suite administration</t>
  </si>
  <si>
    <t xml:space="preserve">RWA's admin uses Suite administration to give a new hire access to Manage and Mobile.</t>
  </si>
  <si>
    <t xml:space="preserve">Workspace; Instance; User</t>
  </si>
  <si>
    <t xml:space="preserve">mas-core-suite-administration</t>
  </si>
  <si>
    <t xml:space="preserve">M11-009</t>
  </si>
  <si>
    <t xml:space="preserve">Instance</t>
  </si>
  <si>
    <t xml:space="preserve">One full installation of MAS on a cluster, with its own core services and applications.</t>
  </si>
  <si>
    <t xml:space="preserve">MAS installation</t>
  </si>
  <si>
    <t xml:space="preserve">RWA has a non-production instance and a production instance.</t>
  </si>
  <si>
    <t xml:space="preserve">Workspace; Environment (DEV / TEST / PROD)</t>
  </si>
  <si>
    <t xml:space="preserve">instance</t>
  </si>
  <si>
    <t xml:space="preserve">M11-010</t>
  </si>
  <si>
    <t xml:space="preserve">Workspace</t>
  </si>
  <si>
    <t xml:space="preserve">A space inside a MAS instance where applications are deployed and used together. Applications in the same workspace share data and users.</t>
  </si>
  <si>
    <t xml:space="preserve">Production Manage, Health and Predict all live in workspace 'prod'.</t>
  </si>
  <si>
    <t xml:space="preserve">Instance; MAS Core / Suite Administration</t>
  </si>
  <si>
    <t xml:space="preserve">workspace</t>
  </si>
  <si>
    <t xml:space="preserve">M11-011</t>
  </si>
  <si>
    <t xml:space="preserve">Suite License Service (SLS)</t>
  </si>
  <si>
    <t xml:space="preserve">SLS</t>
  </si>
  <si>
    <t xml:space="preserve">The MAS component that holds the license file and tracks AppPoints use.</t>
  </si>
  <si>
    <t xml:space="preserve">MAS Suite administration; SLS</t>
  </si>
  <si>
    <t xml:space="preserve">SLS shows RWA using 410 of its 500 AppPoints.</t>
  </si>
  <si>
    <t xml:space="preserve">AppPoints; Data Reporter Operator (DRO)</t>
  </si>
  <si>
    <t xml:space="preserve">suite-license-service-sls</t>
  </si>
  <si>
    <t xml:space="preserve">M11-012</t>
  </si>
  <si>
    <t xml:space="preserve">Data Reporter Operator (DRO)</t>
  </si>
  <si>
    <t xml:space="preserve">DRO</t>
  </si>
  <si>
    <t xml:space="preserve">The MAS component that collects and reports usage data back to IBM for license compliance.</t>
  </si>
  <si>
    <t xml:space="preserve">MAS dependencies</t>
  </si>
  <si>
    <t xml:space="preserve">DRO sends RWA's AppPoint usage data to IBM.</t>
  </si>
  <si>
    <t xml:space="preserve">Suite License Service (SLS); AppPoints</t>
  </si>
  <si>
    <t xml:space="preserve">DRO replaced the earlier User Data Services (UDS) component in newer MAS releases.</t>
  </si>
  <si>
    <t xml:space="preserve">data-reporter-operator-dro</t>
  </si>
  <si>
    <t xml:space="preserve">M11-013</t>
  </si>
  <si>
    <t xml:space="preserve">MongoDB (MAS dependency)</t>
  </si>
  <si>
    <t xml:space="preserve">A database used by MAS core services for suite-level information, separate from the Manage database.</t>
  </si>
  <si>
    <t xml:space="preserve">RWA's Manage data lives in Db2, while MAS core uses MongoDB.</t>
  </si>
  <si>
    <t xml:space="preserve">MAS Core / Suite Administration; Manage Database</t>
  </si>
  <si>
    <t xml:space="preserve">mongodb-mas-dependency</t>
  </si>
  <si>
    <t xml:space="preserve">M11-014</t>
  </si>
  <si>
    <t xml:space="preserve">Manage Database</t>
  </si>
  <si>
    <t xml:space="preserve">The relational database that stores Manage data. Db2, Oracle and SQL Server are supported.</t>
  </si>
  <si>
    <t xml:space="preserve">Database layer</t>
  </si>
  <si>
    <t xml:space="preserve">RWA keeps Manage on Db2.</t>
  </si>
  <si>
    <t xml:space="preserve">manage-database</t>
  </si>
  <si>
    <t xml:space="preserve">M11-015</t>
  </si>
  <si>
    <t xml:space="preserve">Deployment</t>
  </si>
  <si>
    <t xml:space="preserve">Deployment Options (Customer-managed / SaaS)</t>
  </si>
  <si>
    <t xml:space="preserve">MAS can be installed and run by the customer on their own OpenShift (on-premises or in a cloud), or delivered as a service managed by IBM.</t>
  </si>
  <si>
    <t xml:space="preserve">Planning / procurement</t>
  </si>
  <si>
    <t xml:space="preserve">RWA chose IBM-managed SaaS so its small IT team does not have to run OpenShift.</t>
  </si>
  <si>
    <t xml:space="preserve">Red Hat OpenShift; Maximo Application Suite (MAS)</t>
  </si>
  <si>
    <t xml:space="preserve">deployment-options-customer-managed-saas</t>
  </si>
  <si>
    <t xml:space="preserve">M11-016</t>
  </si>
  <si>
    <t xml:space="preserve">Ansible DevOps Collection for MAS</t>
  </si>
  <si>
    <t xml:space="preserve">IBM's open-source automation for installing and managing MAS with Ansible playbooks, available on GitHub.</t>
  </si>
  <si>
    <t xml:space="preserve">github.com/ibm-mas</t>
  </si>
  <si>
    <t xml:space="preserve">A partner uses the ibm-mas Ansible collection to stand up a test environment in a day.</t>
  </si>
  <si>
    <t xml:space="preserve">ansible-devops-collection-for-mas</t>
  </si>
  <si>
    <t xml:space="preserve">M11-017</t>
  </si>
  <si>
    <t xml:space="preserve">Authentication / SSO</t>
  </si>
  <si>
    <t xml:space="preserve">MAS handles login centrally and can connect to corporate identity providers using SAML or LDAP so users sign in with their company account.</t>
  </si>
  <si>
    <t xml:space="preserve">MAS Suite administration, Configurations</t>
  </si>
  <si>
    <t xml:space="preserve">RWA staff log into MAS with their Microsoft accounts through SAML.</t>
  </si>
  <si>
    <t xml:space="preserve">User; MAS Core / Suite Administration</t>
  </si>
  <si>
    <t xml:space="preserve">In 7.6, authentication was handled by the application server or Maximo itself.</t>
  </si>
  <si>
    <t xml:space="preserve">authentication-sso</t>
  </si>
  <si>
    <t xml:space="preserve">M11-018</t>
  </si>
  <si>
    <t xml:space="preserve">Licensing</t>
  </si>
  <si>
    <t xml:space="preserve">AppPoints</t>
  </si>
  <si>
    <t xml:space="preserve">MAS's licensing currency. Customers buy a pool of AppPoints and spend them on users and some applications, instead of buying separate licenses for each product.</t>
  </si>
  <si>
    <t xml:space="preserve">RWA buys 500 AppPoints and uses them across Manage, Health and Mobile users.</t>
  </si>
  <si>
    <t xml:space="preserve">User Entitlement Type (Limited / Base / Premium); Authorized vs Concurrent User; Suite License Service (SLS)</t>
  </si>
  <si>
    <t xml:space="preserve">More users does not always mean more AppPoints. The user type and whether they are authorized or concurrent make a big difference.</t>
  </si>
  <si>
    <t xml:space="preserve">AppPoint values per user type and application change by release. Always check the current IBM MAS licensing guide.</t>
  </si>
  <si>
    <t xml:space="preserve">apppoints</t>
  </si>
  <si>
    <t xml:space="preserve">M11-019</t>
  </si>
  <si>
    <t xml:space="preserve">User Entitlement Type (Limited / Base / Premium)</t>
  </si>
  <si>
    <t xml:space="preserve">Each MAS user is assigned an access level that sets what they can use and how many AppPoints they consume. Limited covers narrower roles, Base covers most Manage use, and Premium covers industry solutions and add-ons.</t>
  </si>
  <si>
    <t xml:space="preserve">MAS Suite administration, Users</t>
  </si>
  <si>
    <t xml:space="preserve">Storeroom clerks are Limited, planners are Base and nuclear engineers using Maximo for Nuclear Power are Premium.</t>
  </si>
  <si>
    <t xml:space="preserve">AppPoints; User</t>
  </si>
  <si>
    <t xml:space="preserve">Exact application coverage for each type is listed in IBM's MAS licensing guide for your version.</t>
  </si>
  <si>
    <t xml:space="preserve">user-entitlement-type-limited-base-premium</t>
  </si>
  <si>
    <t xml:space="preserve">M11-020</t>
  </si>
  <si>
    <t xml:space="preserve">Authorized vs Concurrent User</t>
  </si>
  <si>
    <t xml:space="preserve">Authorized users have dedicated access and always reserve AppPoints. Concurrent users share a pool and only use AppPoints while logged in, at a higher rate.</t>
  </si>
  <si>
    <t xml:space="preserve">Full-time planners are authorized; occasional seasonal workers are concurrent.</t>
  </si>
  <si>
    <t xml:space="preserve">AppPoints; User Entitlement Type (Limited / Base / Premium)</t>
  </si>
  <si>
    <t xml:space="preserve">authorized-vs-concurrent-user</t>
  </si>
  <si>
    <t xml:space="preserve">M11-021</t>
  </si>
  <si>
    <t xml:space="preserve">Self-service Access</t>
  </si>
  <si>
    <t xml:space="preserve">Lightweight access for people who only submit requests or approve things, typically at little or no AppPoint cost.</t>
  </si>
  <si>
    <t xml:space="preserve">All 600 RWA office staff can submit service requests without using up AppPoints.</t>
  </si>
  <si>
    <t xml:space="preserve">Self-Service Request; AppPoints</t>
  </si>
  <si>
    <t xml:space="preserve">Confirm current terms in the IBM licensing guide.</t>
  </si>
  <si>
    <t xml:space="preserve">self-service-access</t>
  </si>
  <si>
    <t xml:space="preserve">M11-022</t>
  </si>
  <si>
    <t xml:space="preserve">User experience</t>
  </si>
  <si>
    <t xml:space="preserve">Unified Navigation</t>
  </si>
  <si>
    <t xml:space="preserve">A newer MAS navigation bar that brings apps from across the suite into one consistent menu.</t>
  </si>
  <si>
    <t xml:space="preserve">MAS 9.1 and later</t>
  </si>
  <si>
    <t xml:space="preserve">A planner moves between Manage, Health and Mobile admin from the same menu.</t>
  </si>
  <si>
    <t xml:space="preserve">Maximo Application Suite (MAS); Role-based Application</t>
  </si>
  <si>
    <t xml:space="preserve">Introduced with MAS 9.1.</t>
  </si>
  <si>
    <t xml:space="preserve">unified-navigation</t>
  </si>
  <si>
    <t xml:space="preserve">M11-023</t>
  </si>
  <si>
    <t xml:space="preserve">Maximo Application Framework (MAF)</t>
  </si>
  <si>
    <t xml:space="preserve">MAF</t>
  </si>
  <si>
    <t xml:space="preserve">The framework used to build MAS's newer role-based and mobile applications, so the same app can run in a browser and on mobile devices.</t>
  </si>
  <si>
    <t xml:space="preserve">MAF Configuration / application tooling</t>
  </si>
  <si>
    <t xml:space="preserve">RWA adds a custom field to the technician app using MAF configuration.</t>
  </si>
  <si>
    <t xml:space="preserve">Role-based Application; Maximo Mobile</t>
  </si>
  <si>
    <t xml:space="preserve">maximo-application-framework-maf</t>
  </si>
  <si>
    <t xml:space="preserve">M11-024</t>
  </si>
  <si>
    <t xml:space="preserve">Role-based Application</t>
  </si>
  <si>
    <t xml:space="preserve">Modern, task-focused apps for specific jobs like technician, supervisor or inspector, built on MAF and usable in browser or on mobile.</t>
  </si>
  <si>
    <t xml:space="preserve">MAS &gt; Manage role-based applications; Maximo Mobile</t>
  </si>
  <si>
    <t xml:space="preserve">Supervisors use the Supervisor app to assign and review work without the full classic screens.</t>
  </si>
  <si>
    <t xml:space="preserve">Maximo Mobile; Maximo Application Framework (MAF); Work Center</t>
  </si>
  <si>
    <t xml:space="preserve">role-based-application</t>
  </si>
  <si>
    <t xml:space="preserve">M12-001</t>
  </si>
  <si>
    <t xml:space="preserve">12 MAS Applications: Monitor, Health, Predict, Mobile, AI</t>
  </si>
  <si>
    <t xml:space="preserve">Asset performance management</t>
  </si>
  <si>
    <t xml:space="preserve">Asset Performance Management (APM)</t>
  </si>
  <si>
    <t xml:space="preserve">APM</t>
  </si>
  <si>
    <t xml:space="preserve">Using live data, health scoring and prediction to keep assets reliable and spend money where it matters most. In MAS this is mainly Monitor, Health and Predict working with Manage.</t>
  </si>
  <si>
    <t xml:space="preserve">Monitor; Health; Predict</t>
  </si>
  <si>
    <t xml:space="preserve">RWA uses Monitor to watch P-101 vibration, Health to score it and Predict to estimate when it might fail.</t>
  </si>
  <si>
    <t xml:space="preserve">Maximo Monitor; Maximo Health; Maximo Predict</t>
  </si>
  <si>
    <t xml:space="preserve">IBM Docs &gt; Maximo Application Suite &gt; Monitor / Health / Predict / Visual Inspection / Mobile</t>
  </si>
  <si>
    <t xml:space="preserve">asset-performance-management-apm</t>
  </si>
  <si>
    <t xml:space="preserve">M12-002</t>
  </si>
  <si>
    <t xml:space="preserve">Monitor</t>
  </si>
  <si>
    <t xml:space="preserve">Maximo Monitor</t>
  </si>
  <si>
    <t xml:space="preserve">The MAS application for collecting and watching live data from sensors and systems, detecting anomalies and showing it on dashboards.</t>
  </si>
  <si>
    <t xml:space="preserve">MAS &gt; Monitor</t>
  </si>
  <si>
    <t xml:space="preserve">Vibration and temperature sensors on P-101 stream into Monitor every 10 seconds.</t>
  </si>
  <si>
    <t xml:space="preserve">IoT (Internet of Things); Device / Device Type; Metric / Data Item; Anomaly Detection</t>
  </si>
  <si>
    <t xml:space="preserve">maximo-monitor</t>
  </si>
  <si>
    <t xml:space="preserve">M12-003</t>
  </si>
  <si>
    <t xml:space="preserve">IoT (Internet of Things)</t>
  </si>
  <si>
    <t xml:space="preserve">IoT</t>
  </si>
  <si>
    <t xml:space="preserve">Connected sensors and devices that send data automatically, such as temperatures, pressures and flows.</t>
  </si>
  <si>
    <t xml:space="preserve">MAS IoT tool / Monitor</t>
  </si>
  <si>
    <t xml:space="preserve">Pressure transmitters on the DIST network report every minute over cellular.</t>
  </si>
  <si>
    <t xml:space="preserve">Maximo Monitor; Device / Device Type</t>
  </si>
  <si>
    <t xml:space="preserve">iot-internet-of-things</t>
  </si>
  <si>
    <t xml:space="preserve">M12-004</t>
  </si>
  <si>
    <t xml:space="preserve">Device / Device Type</t>
  </si>
  <si>
    <t xml:space="preserve">In Monitor, a device is one connected data source and a device type is the template that defines what data that kind of device sends.</t>
  </si>
  <si>
    <t xml:space="preserve">Monitor setup</t>
  </si>
  <si>
    <t xml:space="preserve">Device type PUMP-SENSOR-KIT defines vibration and temperature; P-101's kit is one device.</t>
  </si>
  <si>
    <t xml:space="preserve">Metric / Data Item; Maximo Monitor</t>
  </si>
  <si>
    <t xml:space="preserve">device-device-type</t>
  </si>
  <si>
    <t xml:space="preserve">M12-005</t>
  </si>
  <si>
    <t xml:space="preserve">Metric / Data Item</t>
  </si>
  <si>
    <t xml:space="preserve">A single stream of measured or calculated data in Monitor, like vibration velocity or a rolling average.</t>
  </si>
  <si>
    <t xml:space="preserve">Monitor, Data tab</t>
  </si>
  <si>
    <t xml:space="preserve">P-101 has metrics for vibration, bearing temperature and a calculated 1-hour average.</t>
  </si>
  <si>
    <t xml:space="preserve">Device / Device Type; Anomaly Detection</t>
  </si>
  <si>
    <t xml:space="preserve">metric-data-item</t>
  </si>
  <si>
    <t xml:space="preserve">M12-006</t>
  </si>
  <si>
    <t xml:space="preserve">Anomaly Detection</t>
  </si>
  <si>
    <t xml:space="preserve">Built-in functions that flag unusual patterns in data, even when values have not crossed a fixed limit.</t>
  </si>
  <si>
    <t xml:space="preserve">Monitor anomaly functions</t>
  </si>
  <si>
    <t xml:space="preserve">Monitor flags that P-101 vibration is behaving differently from its normal pattern three days before a bearing failure.</t>
  </si>
  <si>
    <t xml:space="preserve">Maximo Monitor; Condition Monitoring / Measurement Point; Alert</t>
  </si>
  <si>
    <t xml:space="preserve">Fixed limits catch obvious problems; anomaly detection is for catching subtle ones early.</t>
  </si>
  <si>
    <t xml:space="preserve">anomaly-detection</t>
  </si>
  <si>
    <t xml:space="preserve">M12-007</t>
  </si>
  <si>
    <t xml:space="preserve">Alert</t>
  </si>
  <si>
    <t xml:space="preserve">A notification raised in Monitor when a rule or anomaly function fires, which can lead to a service request or work order in Manage.</t>
  </si>
  <si>
    <t xml:space="preserve">Monitor alerts</t>
  </si>
  <si>
    <t xml:space="preserve">An alert on P-101 creates a service request in Manage for a vibration check.</t>
  </si>
  <si>
    <t xml:space="preserve">Anomaly Detection; Service Request</t>
  </si>
  <si>
    <t xml:space="preserve">alert</t>
  </si>
  <si>
    <t xml:space="preserve">M12-008</t>
  </si>
  <si>
    <t xml:space="preserve">Health</t>
  </si>
  <si>
    <t xml:space="preserve">Maximo Health</t>
  </si>
  <si>
    <t xml:space="preserve">The MAS application that gives each asset a health score and helps decide what to repair, replace or watch based on condition, risk and cost.</t>
  </si>
  <si>
    <t xml:space="preserve">MAS &gt; Health</t>
  </si>
  <si>
    <t xml:space="preserve">Health scores P-101 at 54 out of 100 because of rising vibration, age and repeated seal failures.</t>
  </si>
  <si>
    <t xml:space="preserve">Health Score; Criticality; Risk (Health); Effective Age / End of Life</t>
  </si>
  <si>
    <t xml:space="preserve">maximo-health</t>
  </si>
  <si>
    <t xml:space="preserve">M12-009</t>
  </si>
  <si>
    <t xml:space="preserve">Health Score</t>
  </si>
  <si>
    <t xml:space="preserve">A number, usually 0 to 100, showing an asset's overall condition, calculated from contributors you choose.</t>
  </si>
  <si>
    <t xml:space="preserve">Maximo Health (scoring methods)</t>
  </si>
  <si>
    <t xml:space="preserve">P-101: 54. Its twin, P-102: 87.</t>
  </si>
  <si>
    <t xml:space="preserve">Contributor / Scoring Method; Maximo Health</t>
  </si>
  <si>
    <t xml:space="preserve">A health score is only as good as the data behind it. Missing meters or failure codes make scores misleading.</t>
  </si>
  <si>
    <t xml:space="preserve">health-score</t>
  </si>
  <si>
    <t xml:space="preserve">M12-010</t>
  </si>
  <si>
    <t xml:space="preserve">Contributor / Scoring Method</t>
  </si>
  <si>
    <t xml:space="preserve">The factors (like meter readings, age, failure history or inspection results) and the formula used to combine them into scores.</t>
  </si>
  <si>
    <t xml:space="preserve">Maximo Health, Scoring methods</t>
  </si>
  <si>
    <t xml:space="preserve">RWA's pump scoring method weights vibration 40 percent, age 30 percent and failure count 30 percent.</t>
  </si>
  <si>
    <t xml:space="preserve">contributor-scoring-method</t>
  </si>
  <si>
    <t xml:space="preserve">M12-011</t>
  </si>
  <si>
    <t xml:space="preserve">Criticality</t>
  </si>
  <si>
    <t xml:space="preserve">How much it matters if an asset fails, considering safety, environment, service and cost impact.</t>
  </si>
  <si>
    <t xml:space="preserve">Maximo Health; Assets (Priority)</t>
  </si>
  <si>
    <t xml:space="preserve">P-101 is high criticality because losing it stops water intake.</t>
  </si>
  <si>
    <t xml:space="preserve">Risk (Health); Asset Priority / Criticality; Criticality Analysis</t>
  </si>
  <si>
    <t xml:space="preserve">criticality</t>
  </si>
  <si>
    <t xml:space="preserve">M12-012</t>
  </si>
  <si>
    <t xml:space="preserve">Risk (Health)</t>
  </si>
  <si>
    <t xml:space="preserve">A combination of how likely an asset is to fail and how bad the consequences would be, often shown on a matrix.</t>
  </si>
  <si>
    <t xml:space="preserve">Maximo Health, risk matrix</t>
  </si>
  <si>
    <t xml:space="preserve">P-101 sits in the high risk corner: poor health and high criticality.</t>
  </si>
  <si>
    <t xml:space="preserve">Health Score; Criticality</t>
  </si>
  <si>
    <t xml:space="preserve">risk-health</t>
  </si>
  <si>
    <t xml:space="preserve">M12-013</t>
  </si>
  <si>
    <t xml:space="preserve">Effective Age / End of Life</t>
  </si>
  <si>
    <t xml:space="preserve">Effective age reflects how worn an asset really is, which can be older or younger than its calendar age. End of life is when it is expected to need replacement.</t>
  </si>
  <si>
    <t xml:space="preserve">P-101 is 12 years old but has an effective age of 18 because it runs hard 24/7.</t>
  </si>
  <si>
    <t xml:space="preserve">Health Score; Remaining Useful Life (RUL); Maximo Asset Investment Planning</t>
  </si>
  <si>
    <t xml:space="preserve">effective-age-end-of-life</t>
  </si>
  <si>
    <t xml:space="preserve">M12-014</t>
  </si>
  <si>
    <t xml:space="preserve">Predict</t>
  </si>
  <si>
    <t xml:space="preserve">Maximo Predict</t>
  </si>
  <si>
    <t xml:space="preserve">The MAS application that uses machine learning models to predict things like failure probability, predicted failure dates and anomalies.</t>
  </si>
  <si>
    <t xml:space="preserve">MAS &gt; Predict</t>
  </si>
  <si>
    <t xml:space="preserve">Predict estimates a 32 percent chance P-101 fails in the next 30 days.</t>
  </si>
  <si>
    <t xml:space="preserve">Failure Probability / Predicted Failure Date; Machine Learning Model (Predict)</t>
  </si>
  <si>
    <t xml:space="preserve">maximo-predict</t>
  </si>
  <si>
    <t xml:space="preserve">M12-015</t>
  </si>
  <si>
    <t xml:space="preserve">Failure Probability / Predicted Failure Date</t>
  </si>
  <si>
    <t xml:space="preserve">Outputs from Predict showing the chance an asset fails in a time window and the date failure is most likely.</t>
  </si>
  <si>
    <t xml:space="preserve">Predicted failure date for P-101 bearing: mid-November.</t>
  </si>
  <si>
    <t xml:space="preserve">Maximo Predict; Remaining Useful Life (RUL)</t>
  </si>
  <si>
    <t xml:space="preserve">failure-probability-predicted-failure-date</t>
  </si>
  <si>
    <t xml:space="preserve">M12-016</t>
  </si>
  <si>
    <t xml:space="preserve">Machine Learning Model (Predict)</t>
  </si>
  <si>
    <t xml:space="preserve">A model trained on historical data such as failures, meters and sensor readings to make predictions. Predict provides model templates that data scientists can train and deploy.</t>
  </si>
  <si>
    <t xml:space="preserve">Maximo Predict; data science notebooks (Watson Studio / Cloud Pak for Data)</t>
  </si>
  <si>
    <t xml:space="preserve">RWA's data analyst trains a failure model using five years of pump failure records.</t>
  </si>
  <si>
    <t xml:space="preserve">Maximo Predict; Data Quality</t>
  </si>
  <si>
    <t xml:space="preserve">Predictive models need real failure history. Assets that rarely fail are hard to model well.</t>
  </si>
  <si>
    <t xml:space="preserve">machine-learning-model-predict</t>
  </si>
  <si>
    <t xml:space="preserve">M12-017</t>
  </si>
  <si>
    <t xml:space="preserve">Visual Inspection</t>
  </si>
  <si>
    <t xml:space="preserve">Maximo Visual Inspection (MVI)</t>
  </si>
  <si>
    <t xml:space="preserve">MVI</t>
  </si>
  <si>
    <t xml:space="preserve">The MAS application for training computer vision models to spot defects, corrosion, leaks or other conditions in images and video.</t>
  </si>
  <si>
    <t xml:space="preserve">MAS &gt; Visual Inspection</t>
  </si>
  <si>
    <t xml:space="preserve">A model trained on 800 photos flags corrosion on pipe supports from drone images.</t>
  </si>
  <si>
    <t xml:space="preserve">Dataset / Labeling; Model Training / Deployment; MVI Edge / MVI Mobile</t>
  </si>
  <si>
    <t xml:space="preserve">maximo-visual-inspection-mvi</t>
  </si>
  <si>
    <t xml:space="preserve">M12-018</t>
  </si>
  <si>
    <t xml:space="preserve">Dataset / Labeling</t>
  </si>
  <si>
    <t xml:space="preserve">A collection of images or video used to train a model, with objects or conditions marked (labeled) so the model learns what to look for.</t>
  </si>
  <si>
    <t xml:space="preserve">Maximo Visual Inspection, Datasets</t>
  </si>
  <si>
    <t xml:space="preserve">RWA labels 800 images as CORROSION or OK.</t>
  </si>
  <si>
    <t xml:space="preserve">Maximo Visual Inspection (MVI); Model Training / Deployment</t>
  </si>
  <si>
    <t xml:space="preserve">dataset-labeling</t>
  </si>
  <si>
    <t xml:space="preserve">M12-019</t>
  </si>
  <si>
    <t xml:space="preserve">Model Training / Deployment</t>
  </si>
  <si>
    <t xml:space="preserve">Training builds a model from a labeled dataset; deployment makes it available to analyze new images.</t>
  </si>
  <si>
    <t xml:space="preserve">Maximo Visual Inspection, Models</t>
  </si>
  <si>
    <t xml:space="preserve">The corrosion model is trained, reaches acceptable accuracy and is deployed for daily drone flights.</t>
  </si>
  <si>
    <t xml:space="preserve">Dataset / Labeling; MVI Edge / MVI Mobile</t>
  </si>
  <si>
    <t xml:space="preserve">model-training-deployment</t>
  </si>
  <si>
    <t xml:space="preserve">M12-020</t>
  </si>
  <si>
    <t xml:space="preserve">MVI Edge / MVI Mobile</t>
  </si>
  <si>
    <t xml:space="preserve">Running visual inspection models close to where images are captured, on edge devices or phones, instead of sending everything to a central server.</t>
  </si>
  <si>
    <t xml:space="preserve">MVI Edge; MVI Mobile</t>
  </si>
  <si>
    <t xml:space="preserve">A camera at the intake screen runs a model on-site to spot debris buildup.</t>
  </si>
  <si>
    <t xml:space="preserve">mvi-edge-mvi-mobile</t>
  </si>
  <si>
    <t xml:space="preserve">M12-021</t>
  </si>
  <si>
    <t xml:space="preserve">Mobile</t>
  </si>
  <si>
    <t xml:space="preserve">Maximo Mobile</t>
  </si>
  <si>
    <t xml:space="preserve">IBM's mobile app for MAS that lets field workers view and complete work, inspections and other tasks on phones and tablets, online or offline.</t>
  </si>
  <si>
    <t xml:space="preserve">Maximo Mobile app (iOS, Android, Windows)</t>
  </si>
  <si>
    <t xml:space="preserve">Dev completes WO 50231 on his tablet in the pump room with no signal, and it syncs when he gets back.</t>
  </si>
  <si>
    <t xml:space="preserve">Role-based Application; Disconnected (Offline) Mode; Maximo Application Framework (MAF)</t>
  </si>
  <si>
    <t xml:space="preserve">Replaced Maximo Anywhere and Maximo Everyplace for most mobile use. MAS 9.1 added an Incident Reporter app and more centralized mobile administration.</t>
  </si>
  <si>
    <t xml:space="preserve">maximo-mobile</t>
  </si>
  <si>
    <t xml:space="preserve">M12-022</t>
  </si>
  <si>
    <t xml:space="preserve">Disconnected (Offline) Mode</t>
  </si>
  <si>
    <t xml:space="preserve">Working in Maximo Mobile without a network connection, with data downloaded first and synced later.</t>
  </si>
  <si>
    <t xml:space="preserve">Inspections in the clearwell, where there is no signal, are done offline.</t>
  </si>
  <si>
    <t xml:space="preserve">disconnected-offline-mode</t>
  </si>
  <si>
    <t xml:space="preserve">M12-023</t>
  </si>
  <si>
    <t xml:space="preserve">Technician App</t>
  </si>
  <si>
    <t xml:space="preserve">The Maximo Mobile app for technicians to see assigned work, record labor and materials, report failures and complete jobs.</t>
  </si>
  <si>
    <t xml:space="preserve">Dev uses the Technician app for all his assigned work orders.</t>
  </si>
  <si>
    <t xml:space="preserve">Maximo Mobile; Work Order</t>
  </si>
  <si>
    <t xml:space="preserve">technician-app</t>
  </si>
  <si>
    <t xml:space="preserve">M12-024</t>
  </si>
  <si>
    <t xml:space="preserve">Inspections App</t>
  </si>
  <si>
    <t xml:space="preserve">The Maximo Mobile app for completing inspection forms in the field.</t>
  </si>
  <si>
    <t xml:space="preserve">Operators complete the Daily Intake Round in the Inspections app.</t>
  </si>
  <si>
    <t xml:space="preserve">Inspection Form; Maximo Mobile</t>
  </si>
  <si>
    <t xml:space="preserve">inspections-app</t>
  </si>
  <si>
    <t xml:space="preserve">M12-025</t>
  </si>
  <si>
    <t xml:space="preserve">Optimization</t>
  </si>
  <si>
    <t xml:space="preserve">Maximo Optimizer</t>
  </si>
  <si>
    <t xml:space="preserve">The MAS application that uses optimization engines to build schedules automatically, considering labor, skills, time windows and priorities.</t>
  </si>
  <si>
    <t xml:space="preserve">MAS &gt; Optimizer (with Manage scheduling)</t>
  </si>
  <si>
    <t xml:space="preserve">Optimizer builds the week's schedule for TP1 mechanics, respecting shift and craft limits.</t>
  </si>
  <si>
    <t xml:space="preserve">Optimization (Scheduling); Graphical Scheduling</t>
  </si>
  <si>
    <t xml:space="preserve">maximo-optimizer</t>
  </si>
  <si>
    <t xml:space="preserve">M12-026</t>
  </si>
  <si>
    <t xml:space="preserve">AI</t>
  </si>
  <si>
    <t xml:space="preserve">Maximo Assistant</t>
  </si>
  <si>
    <t xml:space="preserve">An AI assistant introduced with MAS 9.1 that helps users find information and work faster using natural language.</t>
  </si>
  <si>
    <t xml:space="preserve">A new planner asks the assistant how to find all overdue PMs at TP1.</t>
  </si>
  <si>
    <t xml:space="preserve">MAS AI Service; watsonx</t>
  </si>
  <si>
    <t xml:space="preserve">Capabilities are evolving quickly between releases. Check the current IBM Docs before describing specifics.</t>
  </si>
  <si>
    <t xml:space="preserve">maximo-assistant</t>
  </si>
  <si>
    <t xml:space="preserve">M12-027</t>
  </si>
  <si>
    <t xml:space="preserve">MAS AI Service</t>
  </si>
  <si>
    <t xml:space="preserve">A MAS component that provides AI capabilities to suite applications, such as natural language queries and document understanding, using IBM and other models.</t>
  </si>
  <si>
    <t xml:space="preserve">MAS AI Service component</t>
  </si>
  <si>
    <t xml:space="preserve">Maximo Assistant; watsonx</t>
  </si>
  <si>
    <t xml:space="preserve">IBM has released several AI Service updates in 2026; features like natural language to query over more Manage objects were added during the 9.2 cycle.</t>
  </si>
  <si>
    <t xml:space="preserve">mas-ai-service</t>
  </si>
  <si>
    <t xml:space="preserve">M12-028</t>
  </si>
  <si>
    <t xml:space="preserve">watsonx</t>
  </si>
  <si>
    <t xml:space="preserve">IBM's AI and data platform, used across IBM products including parts of MAS for generative AI and model capabilities.</t>
  </si>
  <si>
    <t xml:space="preserve">IBM watsonx (integrated with MAS capabilities)</t>
  </si>
  <si>
    <t xml:space="preserve">Maximo Assistant; MAS AI Service</t>
  </si>
  <si>
    <t xml:space="preserve">M13-001</t>
  </si>
  <si>
    <t xml:space="preserve">13 Industry Solutions and Add-ons</t>
  </si>
  <si>
    <t xml:space="preserve">Industry solutions</t>
  </si>
  <si>
    <t xml:space="preserve">Industry Solution</t>
  </si>
  <si>
    <t xml:space="preserve">An extension of Manage with features built for a specific industry, such as utilities, transportation or nuclear power.</t>
  </si>
  <si>
    <t xml:space="preserve">MAS &gt; Manage (installed components)</t>
  </si>
  <si>
    <t xml:space="preserve">RWA adds Maximo for Utilities for crew and network work features.</t>
  </si>
  <si>
    <t xml:space="preserve">Maximo Manage; AppPoints</t>
  </si>
  <si>
    <t xml:space="preserve">In MAS, industry solutions and add-ons are deployed as components of Manage.</t>
  </si>
  <si>
    <t xml:space="preserve">IBM Docs &gt; Maximo Application Suite &gt; Manage industry solutions and add-ons</t>
  </si>
  <si>
    <t xml:space="preserve">industry-solution</t>
  </si>
  <si>
    <t xml:space="preserve">M13-002</t>
  </si>
  <si>
    <t xml:space="preserve">Maximo for Utilities</t>
  </si>
  <si>
    <t xml:space="preserve">Features for electric, gas and water utilities, such as crew management, compatible units and utility-specific asset handling.</t>
  </si>
  <si>
    <t xml:space="preserve">Manage with Utilities component</t>
  </si>
  <si>
    <t xml:space="preserve">RWA uses compatible units to standardize how new service connections are estimated.</t>
  </si>
  <si>
    <t xml:space="preserve">Compatible Unit; Crew / Crew Type</t>
  </si>
  <si>
    <t xml:space="preserve">maximo-for-utilities</t>
  </si>
  <si>
    <t xml:space="preserve">M13-003</t>
  </si>
  <si>
    <t xml:space="preserve">Compatible Unit</t>
  </si>
  <si>
    <t xml:space="preserve">A standard building block of work and materials used by utilities to design and estimate jobs consistently.</t>
  </si>
  <si>
    <t xml:space="preserve">CU 'Install 150mm water service' includes labor, pipe, fittings and restoration.</t>
  </si>
  <si>
    <t xml:space="preserve">Maximo for Utilities; Job Plan</t>
  </si>
  <si>
    <t xml:space="preserve">compatible-unit</t>
  </si>
  <si>
    <t xml:space="preserve">M13-004</t>
  </si>
  <si>
    <t xml:space="preserve">Maximo for Transportation</t>
  </si>
  <si>
    <t xml:space="preserve">Features for fleets such as buses, trucks and rail, including fuel and fluid tracking, warranties and vehicle-centric work.</t>
  </si>
  <si>
    <t xml:space="preserve">Manage with Transportation component</t>
  </si>
  <si>
    <t xml:space="preserve">RWA tracks fuel for its 40 service trucks and recovers warranty claims on new vehicles.</t>
  </si>
  <si>
    <t xml:space="preserve">maximo-for-transportation</t>
  </si>
  <si>
    <t xml:space="preserve">M13-005</t>
  </si>
  <si>
    <t xml:space="preserve">Maximo for Nuclear Power</t>
  </si>
  <si>
    <t xml:space="preserve">Features for nuclear plants, including strict work control, regulatory processes and clearance management.</t>
  </si>
  <si>
    <t xml:space="preserve">Manage with Nuclear component</t>
  </si>
  <si>
    <t xml:space="preserve">maximo-for-nuclear-power</t>
  </si>
  <si>
    <t xml:space="preserve">M13-006</t>
  </si>
  <si>
    <t xml:space="preserve">Maximo for Oil and Gas</t>
  </si>
  <si>
    <t xml:space="preserve">Features for oil and gas operations, including failure reporting, operator rounds, safety and compliance processes.</t>
  </si>
  <si>
    <t xml:space="preserve">Manage with Oil and Gas component</t>
  </si>
  <si>
    <t xml:space="preserve">Industry Solution; Health, Safety and Environment (HSE)</t>
  </si>
  <si>
    <t xml:space="preserve">maximo-for-oil-and-gas</t>
  </si>
  <si>
    <t xml:space="preserve">M13-007</t>
  </si>
  <si>
    <t xml:space="preserve">Maximo for Aviation</t>
  </si>
  <si>
    <t xml:space="preserve">Features for aircraft maintenance, such as flight hours, configuration tracking and airworthiness requirements.</t>
  </si>
  <si>
    <t xml:space="preserve">Manage with Aviation component</t>
  </si>
  <si>
    <t xml:space="preserve">Asset Configuration Manager (ACM)</t>
  </si>
  <si>
    <t xml:space="preserve">maximo-for-aviation</t>
  </si>
  <si>
    <t xml:space="preserve">M13-008</t>
  </si>
  <si>
    <t xml:space="preserve">Maximo for Civil Infrastructure</t>
  </si>
  <si>
    <t xml:space="preserve">Features for bridges, tunnels, roads and similar structures, including inspection and defect management.</t>
  </si>
  <si>
    <t xml:space="preserve">Manage with Civil Infrastructure component</t>
  </si>
  <si>
    <t xml:space="preserve">Linear Asset; Inspection</t>
  </si>
  <si>
    <t xml:space="preserve">maximo-for-civil-infrastructure</t>
  </si>
  <si>
    <t xml:space="preserve">M13-009</t>
  </si>
  <si>
    <t xml:space="preserve">Add-ons</t>
  </si>
  <si>
    <t xml:space="preserve">Maximo Spatial</t>
  </si>
  <si>
    <t xml:space="preserve">Connects Maximo with GIS maps (commonly Esri) so assets and work can be viewed, created and analyzed on a map.</t>
  </si>
  <si>
    <t xml:space="preserve">Manage with Spatial component</t>
  </si>
  <si>
    <t xml:space="preserve">Crews see every DIST valve and open work order on a map.</t>
  </si>
  <si>
    <t xml:space="preserve">maximo-spatial</t>
  </si>
  <si>
    <t xml:space="preserve">M13-010</t>
  </si>
  <si>
    <t xml:space="preserve">Maximo Linear</t>
  </si>
  <si>
    <t xml:space="preserve">Manages assets measured along their length, like pipelines, roads and rail, with features and segments by distance.</t>
  </si>
  <si>
    <t xml:space="preserve">Manage linear capabilities</t>
  </si>
  <si>
    <t xml:space="preserve">Water main WM-0450 has features and repairs recorded by kilometer marker.</t>
  </si>
  <si>
    <t xml:space="preserve">Linear Asset; Maximo Spatial</t>
  </si>
  <si>
    <t xml:space="preserve">maximo-linear</t>
  </si>
  <si>
    <t xml:space="preserve">M13-011</t>
  </si>
  <si>
    <t xml:space="preserve">Maximo Scheduler</t>
  </si>
  <si>
    <t xml:space="preserve">Advanced scheduling tools for Gantt planning, crew assignment and resource leveling.</t>
  </si>
  <si>
    <t xml:space="preserve">Manage with Scheduler capabilities</t>
  </si>
  <si>
    <t xml:space="preserve">TP1 shutdowns are planned with Scheduler's Gantt view.</t>
  </si>
  <si>
    <t xml:space="preserve">Graphical Scheduling; Graphical Assignment; Maximo Optimizer</t>
  </si>
  <si>
    <t xml:space="preserve">maximo-scheduler</t>
  </si>
  <si>
    <t xml:space="preserve">M13-012</t>
  </si>
  <si>
    <t xml:space="preserve">Maximo Service Provider</t>
  </si>
  <si>
    <t xml:space="preserve">Features for companies that do maintenance for outside customers, including customer agreements, pricing and billing.</t>
  </si>
  <si>
    <t xml:space="preserve">Manage with Service Provider component</t>
  </si>
  <si>
    <t xml:space="preserve">A contractor uses Service Provider to bill RWA for maintenance it performs.</t>
  </si>
  <si>
    <t xml:space="preserve">maximo-service-provider</t>
  </si>
  <si>
    <t xml:space="preserve">M13-013</t>
  </si>
  <si>
    <t xml:space="preserve">Health, Safety and Environment (HSE)</t>
  </si>
  <si>
    <t xml:space="preserve">HSE</t>
  </si>
  <si>
    <t xml:space="preserve">Features for safety and environmental processes such as incidents, investigations, permits to work, management of change and operator logs.</t>
  </si>
  <si>
    <t xml:space="preserve">Manage with HSE component</t>
  </si>
  <si>
    <t xml:space="preserve">A chlorine leak is recorded as an incident, investigated and tracked to corrective actions.</t>
  </si>
  <si>
    <t xml:space="preserve">health-safety-and-environment-hse</t>
  </si>
  <si>
    <t xml:space="preserve">M13-014</t>
  </si>
  <si>
    <t xml:space="preserve">ACM</t>
  </si>
  <si>
    <t xml:space="preserve">Tracks complex, configuration-controlled assets like aircraft and trains, ensuring the right parts are installed in the right positions.</t>
  </si>
  <si>
    <t xml:space="preserve">Manage with ACM component</t>
  </si>
  <si>
    <t xml:space="preserve">Maximo for Aviation; Rotating Asset / Rotating Item</t>
  </si>
  <si>
    <t xml:space="preserve">asset-configuration-manager-acm</t>
  </si>
  <si>
    <t xml:space="preserve">M13-015</t>
  </si>
  <si>
    <t xml:space="preserve">Calibration</t>
  </si>
  <si>
    <t xml:space="preserve">Tracks calibration of instruments and test equipment, including datasheets, tolerances and pass/fail results.</t>
  </si>
  <si>
    <t xml:space="preserve">Manage calibration capabilities</t>
  </si>
  <si>
    <t xml:space="preserve">Chlorine analyzer CL2-AN-01 is calibrated monthly with results recorded against tolerance.</t>
  </si>
  <si>
    <t xml:space="preserve">calibration</t>
  </si>
  <si>
    <t xml:space="preserve">M13-016</t>
  </si>
  <si>
    <t xml:space="preserve">Maximo Real Estate and Facilities</t>
  </si>
  <si>
    <t xml:space="preserve">The MAS application that brings IBM TRIRIGA capabilities into the suite for space, leases, capital projects and facility management.</t>
  </si>
  <si>
    <t xml:space="preserve">MAS &gt; Real Estate and Facilities</t>
  </si>
  <si>
    <t xml:space="preserve">RWA manages office leases and space at head office alongside plant maintenance.</t>
  </si>
  <si>
    <t xml:space="preserve">Introduced with MAS 9.1. Formerly IBM TRIRIGA.</t>
  </si>
  <si>
    <t xml:space="preserve">maximo-real-estate-and-facilities</t>
  </si>
  <si>
    <t xml:space="preserve">M13-017</t>
  </si>
  <si>
    <t xml:space="preserve">Maximo Asset Investment Planning</t>
  </si>
  <si>
    <t xml:space="preserve">An add-on for planning and prioritizing long-term asset investments and capital spending.</t>
  </si>
  <si>
    <t xml:space="preserve">MAS &gt; Manage add-on</t>
  </si>
  <si>
    <t xml:space="preserve">RWA models how much to spend on pump replacements over 10 years to keep risk acceptable.</t>
  </si>
  <si>
    <t xml:space="preserve">Maximo Health; Capital vs Operating Work; Effective Age / End of Life</t>
  </si>
  <si>
    <t xml:space="preserve">maximo-asset-investment-planning</t>
  </si>
  <si>
    <t xml:space="preserve">M13-018</t>
  </si>
  <si>
    <t xml:space="preserve">Maintenance Cost Insights</t>
  </si>
  <si>
    <t xml:space="preserve">A MAS capability, powered by Apptio, for analyzing and understanding maintenance spending.</t>
  </si>
  <si>
    <t xml:space="preserve">Planned vs Actual Cost; Budget Monitoring</t>
  </si>
  <si>
    <t xml:space="preserve">Announced with MAS 9.1. Confirm availability and licensing for your version.</t>
  </si>
  <si>
    <t xml:space="preserve">maintenance-cost-insights</t>
  </si>
  <si>
    <t xml:space="preserve">M13-019</t>
  </si>
  <si>
    <t xml:space="preserve">Maximo IT</t>
  </si>
  <si>
    <t xml:space="preserve">IT asset and service management capabilities in MAS, carrying forward what was IBM Control Desk.</t>
  </si>
  <si>
    <t xml:space="preserve">MAS &gt; Manage (Maximo IT)</t>
  </si>
  <si>
    <t xml:space="preserve">RWA's IT team tracks laptops and service desk tickets in the same system as plant maintenance.</t>
  </si>
  <si>
    <t xml:space="preserve">maximo-it</t>
  </si>
  <si>
    <t xml:space="preserve">M13-020</t>
  </si>
  <si>
    <t xml:space="preserve">Reliability Strategies</t>
  </si>
  <si>
    <t xml:space="preserve">An add-on library of failure modes and recommended maintenance tasks for common asset types, used to build better maintenance programs faster.</t>
  </si>
  <si>
    <t xml:space="preserve">Manage add-on</t>
  </si>
  <si>
    <t xml:space="preserve">RWA starts its centrifugal pump strategy from library failure modes instead of a blank page.</t>
  </si>
  <si>
    <t xml:space="preserve">Reliability-Centered Maintenance (RCM); FMEA / FMECA; Job Plan</t>
  </si>
  <si>
    <t xml:space="preserve">reliability-strategies</t>
  </si>
  <si>
    <t xml:space="preserve">M13-021</t>
  </si>
  <si>
    <t xml:space="preserve">ERP Connectors (SAP / Oracle / Workday)</t>
  </si>
  <si>
    <t xml:space="preserve">IBM-provided connectors that link Manage with common ERP and HR systems for finance, purchasing and people data.</t>
  </si>
  <si>
    <t xml:space="preserve">Manage add-ons / integration</t>
  </si>
  <si>
    <t xml:space="preserve">Maximo Integration Framework (MIF); GL Account</t>
  </si>
  <si>
    <t xml:space="preserve">erp-connectors-sap-oracle-workday</t>
  </si>
  <si>
    <t xml:space="preserve">M14-001</t>
  </si>
  <si>
    <t xml:space="preserve">14 Maintenance and Reliability Concepts</t>
  </si>
  <si>
    <t xml:space="preserve">Strategy</t>
  </si>
  <si>
    <t xml:space="preserve">EAM vs CMMS</t>
  </si>
  <si>
    <t xml:space="preserve">A CMMS (computerized maintenance management system) focuses on maintenance work. EAM (enterprise asset management) covers the whole asset lifecycle including finance, purchasing and inventory across the enterprise. Maximo is an EAM.</t>
  </si>
  <si>
    <t xml:space="preserve">Concept</t>
  </si>
  <si>
    <t xml:space="preserve">RWA outgrew a simple CMMS once it needed purchasing, inventory and multi-site reporting in one place.</t>
  </si>
  <si>
    <t xml:space="preserve">Asset Lifecycle; Maximo Manage</t>
  </si>
  <si>
    <t xml:space="preserve">Industry references (SMRP, ISO 55000) and Maximo Health / Predict docs</t>
  </si>
  <si>
    <t xml:space="preserve">eam-vs-cmms</t>
  </si>
  <si>
    <t xml:space="preserve">M14-002</t>
  </si>
  <si>
    <t xml:space="preserve">Asset Lifecycle</t>
  </si>
  <si>
    <t xml:space="preserve">The full life of an asset: plan, acquire, install, operate, maintain, and finally dispose or replace.</t>
  </si>
  <si>
    <t xml:space="preserve">Concept (supported across Manage, Health, AIP)</t>
  </si>
  <si>
    <t xml:space="preserve">P-101 was purchased in 2014, has been maintained for 12 years and is being evaluated for replacement.</t>
  </si>
  <si>
    <t xml:space="preserve">Total Cost of Ownership (TCO); Maximo Asset Investment Planning</t>
  </si>
  <si>
    <t xml:space="preserve">asset-lifecycle</t>
  </si>
  <si>
    <t xml:space="preserve">M14-003</t>
  </si>
  <si>
    <t xml:space="preserve">Reactive (Run-to-Failure) Maintenance</t>
  </si>
  <si>
    <t xml:space="preserve">Fixing things after they break. Sensible for cheap, non-critical items, costly when used for critical ones.</t>
  </si>
  <si>
    <t xml:space="preserve">Concept; Work Type CM/EM</t>
  </si>
  <si>
    <t xml:space="preserve">Light bulbs in the office are run to failure. P-101 should never be.</t>
  </si>
  <si>
    <t xml:space="preserve">Preventive Maintenance; Criticality</t>
  </si>
  <si>
    <t xml:space="preserve">Reactive is not always bad. It is a valid choice when failure is cheap and harmless.</t>
  </si>
  <si>
    <t xml:space="preserve">reactive-run-to-failure-maintenance</t>
  </si>
  <si>
    <t xml:space="preserve">M14-004</t>
  </si>
  <si>
    <t xml:space="preserve">Preventive Maintenance</t>
  </si>
  <si>
    <t xml:space="preserve">Doing maintenance on a fixed schedule or usage interval to reduce the chance of failure.</t>
  </si>
  <si>
    <t xml:space="preserve">P-101 gets lubricated every 500 run hours and inspected every quarter.</t>
  </si>
  <si>
    <t xml:space="preserve">Preventive Maintenance (PM) Record; Condition-based Maintenance (CBM); Predictive Maintenance</t>
  </si>
  <si>
    <t xml:space="preserve">preventive-maintenance</t>
  </si>
  <si>
    <t xml:space="preserve">M14-005</t>
  </si>
  <si>
    <t xml:space="preserve">Condition-based Maintenance (CBM)</t>
  </si>
  <si>
    <t xml:space="preserve">Doing maintenance when measurements show it is needed, instead of on a fixed calendar.</t>
  </si>
  <si>
    <t xml:space="preserve">Condition Monitoring; Maximo Monitor</t>
  </si>
  <si>
    <t xml:space="preserve">P-101's bearings are replaced when vibration crosses a limit, not every year.</t>
  </si>
  <si>
    <t xml:space="preserve">Condition Monitoring / Measurement Point; P-F Curve</t>
  </si>
  <si>
    <t xml:space="preserve">condition-based-maintenance-cbm</t>
  </si>
  <si>
    <t xml:space="preserve">M14-006</t>
  </si>
  <si>
    <t xml:space="preserve">Predictive Maintenance</t>
  </si>
  <si>
    <t xml:space="preserve">Using data and models to forecast failures so work happens just before it is needed.</t>
  </si>
  <si>
    <t xml:space="preserve">Maximo Predict; Monitor; Health</t>
  </si>
  <si>
    <t xml:space="preserve">Predict forecasts a bearing failure on P-101 in November, and work is scheduled for late October.</t>
  </si>
  <si>
    <t xml:space="preserve">Maximo Predict; Condition-based Maintenance (CBM)</t>
  </si>
  <si>
    <t xml:space="preserve">predictive-maintenance</t>
  </si>
  <si>
    <t xml:space="preserve">M14-007</t>
  </si>
  <si>
    <t xml:space="preserve">Reliability-Centered Maintenance (RCM)</t>
  </si>
  <si>
    <t xml:space="preserve">RCM</t>
  </si>
  <si>
    <t xml:space="preserve">A structured method for deciding the right maintenance for each asset based on its functions, how it can fail and the consequences of failure.</t>
  </si>
  <si>
    <t xml:space="preserve">Concept; Reliability Strategies add-on</t>
  </si>
  <si>
    <t xml:space="preserve">RWA runs an RCM review on its high-criticality pumps and drops three PMs that added no value.</t>
  </si>
  <si>
    <t xml:space="preserve">FMEA / FMECA; Criticality; Reliability Strategies</t>
  </si>
  <si>
    <t xml:space="preserve">reliability-centered-maintenance-rcm</t>
  </si>
  <si>
    <t xml:space="preserve">M14-008</t>
  </si>
  <si>
    <t xml:space="preserve">FMEA / FMECA</t>
  </si>
  <si>
    <t xml:space="preserve">Failure Modes and Effects (and Criticality) Analysis: listing each way an asset can fail, what happens when it does, and how serious it is.</t>
  </si>
  <si>
    <t xml:space="preserve">Concept; Reliability Strategies; Health</t>
  </si>
  <si>
    <t xml:space="preserve">For P-101, failure modes include seal leak, bearing failure and impeller wear, each ranked by severity.</t>
  </si>
  <si>
    <t xml:space="preserve">Reliability-Centered Maintenance (RCM); Failure Code / Failure Class</t>
  </si>
  <si>
    <t xml:space="preserve">fmea-fmeca</t>
  </si>
  <si>
    <t xml:space="preserve">M14-009</t>
  </si>
  <si>
    <t xml:space="preserve">Criticality Analysis</t>
  </si>
  <si>
    <t xml:space="preserve">Ranking assets by how much their failure would affect safety, environment, service and cost, so effort goes where it matters.</t>
  </si>
  <si>
    <t xml:space="preserve">Concept; Asset Priority; Maximo Health</t>
  </si>
  <si>
    <t xml:space="preserve">RWA ranks all 14,000 assets and finds 6 percent are high criticality.</t>
  </si>
  <si>
    <t xml:space="preserve">Criticality; Asset Priority / Criticality; Risk (Health)</t>
  </si>
  <si>
    <t xml:space="preserve">criticality-analysis</t>
  </si>
  <si>
    <t xml:space="preserve">M14-010</t>
  </si>
  <si>
    <t xml:space="preserve">P-F Curve</t>
  </si>
  <si>
    <t xml:space="preserve">A model showing that most failures give warning signs: point P is where a potential failure can first be detected and point F is where it actually fails. The gap is your window to act.</t>
  </si>
  <si>
    <t xml:space="preserve">Vibration on P-101 starts rising (P) about six weeks before the bearing seizes (F).</t>
  </si>
  <si>
    <t xml:space="preserve">Condition-based Maintenance (CBM); Predictive Maintenance</t>
  </si>
  <si>
    <t xml:space="preserve">p-f-curve</t>
  </si>
  <si>
    <t xml:space="preserve">M14-011</t>
  </si>
  <si>
    <t xml:space="preserve">Root Cause Analysis (RCA)</t>
  </si>
  <si>
    <t xml:space="preserve">RCA</t>
  </si>
  <si>
    <t xml:space="preserve">A structured investigation to find the underlying reason a failure happened, so it does not happen again.</t>
  </si>
  <si>
    <t xml:space="preserve">Concept; Failure Codes; HSE investigations</t>
  </si>
  <si>
    <t xml:space="preserve">RCA finds P-101's seals fail early because of misalignment after motor swaps.</t>
  </si>
  <si>
    <t xml:space="preserve">Failure Code / Failure Class; Bad Actor</t>
  </si>
  <si>
    <t xml:space="preserve">root-cause-analysis-rca</t>
  </si>
  <si>
    <t xml:space="preserve">M14-012</t>
  </si>
  <si>
    <t xml:space="preserve">Bad Actor</t>
  </si>
  <si>
    <t xml:space="preserve">An asset with an unusually high number of failures or costs compared to its peers.</t>
  </si>
  <si>
    <t xml:space="preserve">Reports; Maximo Health</t>
  </si>
  <si>
    <t xml:space="preserve">P-101 has had 7 seal failures in 2 years while P-102 had 1, making it a bad actor.</t>
  </si>
  <si>
    <t xml:space="preserve">Root Cause Analysis (RCA); MTBF (Mean Time Between Failures)</t>
  </si>
  <si>
    <t xml:space="preserve">bad-actor</t>
  </si>
  <si>
    <t xml:space="preserve">M14-013</t>
  </si>
  <si>
    <t xml:space="preserve">Total Cost of Ownership (TCO)</t>
  </si>
  <si>
    <t xml:space="preserve">TCO</t>
  </si>
  <si>
    <t xml:space="preserve">The full cost of an asset over its life, including purchase, installation, maintenance, energy and disposal.</t>
  </si>
  <si>
    <t xml:space="preserve">Concept; Life-to-date Cost</t>
  </si>
  <si>
    <t xml:space="preserve">P-101 cost $120,000 to buy but will cost far more over 25 years in energy and maintenance.</t>
  </si>
  <si>
    <t xml:space="preserve">Life-to-date Cost; Asset Lifecycle</t>
  </si>
  <si>
    <t xml:space="preserve">total-cost-of-ownership-tco</t>
  </si>
  <si>
    <t xml:space="preserve">M14-014</t>
  </si>
  <si>
    <t xml:space="preserve">ISO 55000</t>
  </si>
  <si>
    <t xml:space="preserve">The international standards family for asset management, describing how organizations should manage assets to get value from them.</t>
  </si>
  <si>
    <t xml:space="preserve">Standard (not a Maximo feature)</t>
  </si>
  <si>
    <t xml:space="preserve">RWA aligns its asset management plan with ISO 55001 requirements.</t>
  </si>
  <si>
    <t xml:space="preserve">Asset Lifecycle; Criticality Analysis</t>
  </si>
  <si>
    <t xml:space="preserve">Maximo can support ISO 55000, but no software makes an organization compliant on its own.</t>
  </si>
  <si>
    <t xml:space="preserve">iso-55000</t>
  </si>
  <si>
    <t xml:space="preserve">M14-015</t>
  </si>
  <si>
    <t xml:space="preserve">Digital Twin</t>
  </si>
  <si>
    <t xml:space="preserve">A digital representation of a physical asset or system, kept up to date with real data, used to understand and simulate how it behaves.</t>
  </si>
  <si>
    <t xml:space="preserve">Concept; Monitor; Health; Spatial</t>
  </si>
  <si>
    <t xml:space="preserve">A digital view of the TP1 intake combines live sensor data, asset records and work history.</t>
  </si>
  <si>
    <t xml:space="preserve">IoT (Internet of Things); Maximo Monitor</t>
  </si>
  <si>
    <t xml:space="preserve">digital-twin</t>
  </si>
  <si>
    <t xml:space="preserve">M14-016</t>
  </si>
  <si>
    <t xml:space="preserve">Metrics</t>
  </si>
  <si>
    <t xml:space="preserve">MTBF (Mean Time Between Failures)</t>
  </si>
  <si>
    <t xml:space="preserve">MTBF</t>
  </si>
  <si>
    <t xml:space="preserve">The average time an asset runs between failures. Higher is better.</t>
  </si>
  <si>
    <t xml:space="preserve">P-101 ran 2,900 hours on average between seal failures.</t>
  </si>
  <si>
    <t xml:space="preserve">MTTR (Mean Time to Repair); Availability; Failure Code / Failure Class</t>
  </si>
  <si>
    <t xml:space="preserve">mtbf-mean-time-between-failures</t>
  </si>
  <si>
    <t xml:space="preserve">M14-017</t>
  </si>
  <si>
    <t xml:space="preserve">MTTR (Mean Time to Repair)</t>
  </si>
  <si>
    <t xml:space="preserve">MTTR</t>
  </si>
  <si>
    <t xml:space="preserve">The average time it takes to repair an asset after a failure. Lower is better.</t>
  </si>
  <si>
    <t xml:space="preserve">Reports from downtime and work orders</t>
  </si>
  <si>
    <t xml:space="preserve">P-101 seal repairs average 6.1 hours.</t>
  </si>
  <si>
    <t xml:space="preserve">MTBF (Mean Time Between Failures); Asset Downtime</t>
  </si>
  <si>
    <t xml:space="preserve">mttr-mean-time-to-repair</t>
  </si>
  <si>
    <t xml:space="preserve">M14-018</t>
  </si>
  <si>
    <t xml:space="preserve">Availability</t>
  </si>
  <si>
    <t xml:space="preserve">The percentage of time an asset is able to run when needed. Often estimated as MTBF divided by MTBF plus MTTR.</t>
  </si>
  <si>
    <t xml:space="preserve">Reports; Downtime</t>
  </si>
  <si>
    <t xml:space="preserve">With MTBF 2,900 h and MTTR 6.1 h, P-101 availability is about 99.8 percent.</t>
  </si>
  <si>
    <t xml:space="preserve">MTBF (Mean Time Between Failures); MTTR (Mean Time to Repair); Asset Downtime</t>
  </si>
  <si>
    <t xml:space="preserve">availability</t>
  </si>
  <si>
    <t xml:space="preserve">M14-019</t>
  </si>
  <si>
    <t xml:space="preserve">OEE (Overall Equipment Effectiveness)</t>
  </si>
  <si>
    <t xml:space="preserve">OEE</t>
  </si>
  <si>
    <t xml:space="preserve">Availability multiplied by performance and quality. Mostly used in manufacturing to show how much of potential output is really achieved.</t>
  </si>
  <si>
    <t xml:space="preserve">Concept; Monitor dashboards</t>
  </si>
  <si>
    <t xml:space="preserve">A bottling line runs 90 percent available, at 95 percent speed, with 99 percent good product, for about 85 percent OEE.</t>
  </si>
  <si>
    <t xml:space="preserve">oee-overall-equipment-effectiveness</t>
  </si>
  <si>
    <t xml:space="preserve">M14-020</t>
  </si>
  <si>
    <t xml:space="preserve">PM Compliance</t>
  </si>
  <si>
    <t xml:space="preserve">The percentage of PM work orders completed on time within an allowed window.</t>
  </si>
  <si>
    <t xml:space="preserve">KPI Manager; reports</t>
  </si>
  <si>
    <t xml:space="preserve">TP1 completed 182 of 200 PMs on time, for 91 percent compliance.</t>
  </si>
  <si>
    <t xml:space="preserve">Preventive Maintenance (PM) Record; Schedule Compliance; KPI (Key Performance Indicator)</t>
  </si>
  <si>
    <t xml:space="preserve">pm-compliance</t>
  </si>
  <si>
    <t xml:space="preserve">M14-021</t>
  </si>
  <si>
    <t xml:space="preserve">Planned Maintenance Percentage</t>
  </si>
  <si>
    <t xml:space="preserve">The share of maintenance hours spent on planned work versus unplanned or emergency work.</t>
  </si>
  <si>
    <t xml:space="preserve">Reports using Work Type</t>
  </si>
  <si>
    <t xml:space="preserve">TP1 spends 72 percent of hours on planned work and 28 percent on reactive work.</t>
  </si>
  <si>
    <t xml:space="preserve">Work Type; Reactive (Run-to-Failure) Maintenance</t>
  </si>
  <si>
    <t xml:space="preserve">planned-maintenance-percentage</t>
  </si>
  <si>
    <t xml:space="preserve">M14-022</t>
  </si>
  <si>
    <t xml:space="preserve">Wrench Time</t>
  </si>
  <si>
    <t xml:space="preserve">The share of a technician's shift spent actually doing hands-on work, as opposed to waiting, traveling or looking for parts.</t>
  </si>
  <si>
    <t xml:space="preserve">Studies; labor reporting</t>
  </si>
  <si>
    <t xml:space="preserve">A study finds RWA techs spend 35 percent of their day on actual work.</t>
  </si>
  <si>
    <t xml:space="preserve">Planning vs Scheduling; Kit</t>
  </si>
  <si>
    <t xml:space="preserve">wrench-time</t>
  </si>
  <si>
    <t xml:space="preserve">M14-023</t>
  </si>
  <si>
    <t xml:space="preserve">Remaining Useful Life (RUL)</t>
  </si>
  <si>
    <t xml:space="preserve">RUL</t>
  </si>
  <si>
    <t xml:space="preserve">An estimate of how much longer an asset can operate before it needs replacing or major repair.</t>
  </si>
  <si>
    <t xml:space="preserve">Maximo Health; Maximo Predict</t>
  </si>
  <si>
    <t xml:space="preserve">Health estimates P-101 has about 4 years of useful life left.</t>
  </si>
  <si>
    <t xml:space="preserve">Effective Age / End of Life; Maximo Predict</t>
  </si>
  <si>
    <t xml:space="preserve">remaining-useful-life-rul</t>
  </si>
  <si>
    <t xml:space="preserve">What it covers</t>
  </si>
  <si>
    <t xml:space="preserve">Terms</t>
  </si>
  <si>
    <t xml:space="preserve">Verified or Published</t>
  </si>
  <si>
    <t xml:space="preserve">% Verified</t>
  </si>
  <si>
    <t xml:space="preserve">How Maximo is organized (organizations, sites, sets) and the basics every screen shares: records, statuses, queries, Start Centers.</t>
  </si>
  <si>
    <t xml:space="preserve">Locations vs assets, hierarchies, systems, rotating assets, classifications, failure codes and meters.</t>
  </si>
  <si>
    <t xml:space="preserve">Service requests, work orders, the status lifecycle, plans vs actuals, tasks, child work orders, execution and inspections.</t>
  </si>
  <si>
    <t xml:space="preserve">Job plans, preventive maintenance schedules, routes and safety (hazards, precautions, lockout/tagout, permits).</t>
  </si>
  <si>
    <t xml:space="preserve">Items, storerooms, balances, reservations, issues, returns, transfers, counting, reordering and cost types.</t>
  </si>
  <si>
    <t xml:space="preserve">Requisitions, RFQs, purchase orders, receiving, invoicing, vendors and the different kinds of contracts.</t>
  </si>
  <si>
    <t xml:space="preserve">People, users and labor, crafts, qualifications, calendars, crews and how planning differs from scheduling.</t>
  </si>
  <si>
    <t xml:space="preserve">GL accounts, financial periods, currencies, planned vs actual cost and life-to-date cost.</t>
  </si>
  <si>
    <t xml:space="preserve">Security, domains, Database Configuration, Application Designer, workflow, escalations, automation scripts and admin tools.</t>
  </si>
  <si>
    <t xml:space="preserve">The integration framework, REST API, data loading and quality, BIRT reports, KPIs and analytics.</t>
  </si>
  <si>
    <t xml:space="preserve">What MAS is, how it differs from 7.6, OpenShift architecture, workspaces, deployment options and AppPoints licensing.</t>
  </si>
  <si>
    <t xml:space="preserve">Monitor, Health, Predict, Visual Inspection, Maximo Mobile, Optimizer and the AI features in MAS.</t>
  </si>
  <si>
    <t xml:space="preserve">Industry solutions (Utilities, Transportation, Nuclear and more) and add-ons such as Spatial, HSE and Real Estate and Facilities.</t>
  </si>
  <si>
    <t xml:space="preserve">The maintenance and reliability ideas behind Maximo: strategies, RCM, FMEA, P-F curve, MTBF, MTTR and other metrics.</t>
  </si>
  <si>
    <t xml:space="preserve">Total</t>
  </si>
  <si>
    <t xml:space="preserve">Riverbend Water Authority (fictional): the one organization used in every example</t>
  </si>
  <si>
    <t xml:space="preserve">A mid-sized municipal water utility. Keep these names consistent across the whole site so readers follow one asset through every concept.</t>
  </si>
  <si>
    <t xml:space="preserve">Record Type</t>
  </si>
  <si>
    <t xml:space="preserve">ID / Name</t>
  </si>
  <si>
    <t xml:space="preserve">Description</t>
  </si>
  <si>
    <t xml:space="preserve">Parent / Belongs To</t>
  </si>
  <si>
    <t xml:space="preserve">Used In (Modules)</t>
  </si>
  <si>
    <t xml:space="preserve">RWA</t>
  </si>
  <si>
    <t xml:space="preserve">Riverbend Water Authority. Base currency CAD.</t>
  </si>
  <si>
    <t xml:space="preserve">01, 08</t>
  </si>
  <si>
    <t xml:space="preserve">TP1</t>
  </si>
  <si>
    <t xml:space="preserve">Riverbend Treatment Plant</t>
  </si>
  <si>
    <t xml:space="preserve">All</t>
  </si>
  <si>
    <t xml:space="preserve">DIST</t>
  </si>
  <si>
    <t xml:space="preserve">Distribution Network (mains, valves, pump stations, hydrants)</t>
  </si>
  <si>
    <t xml:space="preserve">02, 13</t>
  </si>
  <si>
    <t xml:space="preserve">FLEET</t>
  </si>
  <si>
    <t xml:space="preserve">Fleet Yard (40 service trucks and equipment)</t>
  </si>
  <si>
    <t xml:space="preserve">13</t>
  </si>
  <si>
    <t xml:space="preserve">RWAITEMS</t>
  </si>
  <si>
    <t xml:space="preserve">Shared item catalog for all RWA sites</t>
  </si>
  <si>
    <t xml:space="preserve">01, 05</t>
  </si>
  <si>
    <t xml:space="preserve">Location System</t>
  </si>
  <si>
    <t xml:space="preserve">PROCESS</t>
  </si>
  <si>
    <t xml:space="preserve">Primary system at TP1, follows the water treatment process</t>
  </si>
  <si>
    <t xml:space="preserve">02</t>
  </si>
  <si>
    <t xml:space="preserve">ELECTRICAL</t>
  </si>
  <si>
    <t xml:space="preserve">Secondary system at TP1, follows the power feeds</t>
  </si>
  <si>
    <t xml:space="preserve">TP1-INTAKE</t>
  </si>
  <si>
    <t xml:space="preserve">Raw water intake area</t>
  </si>
  <si>
    <t xml:space="preserve">TP1 (PROCESS)</t>
  </si>
  <si>
    <t xml:space="preserve">TP1-INTAKE-PS</t>
  </si>
  <si>
    <t xml:space="preserve">Raw water intake pump position (where P-101 sits)</t>
  </si>
  <si>
    <t xml:space="preserve">02, 03</t>
  </si>
  <si>
    <t xml:space="preserve">TP1-FILT</t>
  </si>
  <si>
    <t xml:space="preserve">Filtration building</t>
  </si>
  <si>
    <t xml:space="preserve">02, 04</t>
  </si>
  <si>
    <t xml:space="preserve">TP1-CHEM</t>
  </si>
  <si>
    <t xml:space="preserve">Chemical feed room (chlorine hazard)</t>
  </si>
  <si>
    <t xml:space="preserve">04</t>
  </si>
  <si>
    <t xml:space="preserve">CENTRAL</t>
  </si>
  <si>
    <t xml:space="preserve">Main storeroom at TP1 (type STOREROOM)</t>
  </si>
  <si>
    <t xml:space="preserve">05, 06</t>
  </si>
  <si>
    <t xml:space="preserve">DIST-STORE</t>
  </si>
  <si>
    <t xml:space="preserve">Distribution yard storeroom (type STOREROOM)</t>
  </si>
  <si>
    <t xml:space="preserve">05</t>
  </si>
  <si>
    <t xml:space="preserve">REPAIR-SHOP</t>
  </si>
  <si>
    <t xml:space="preserve">Motor and pump repair area (type REPAIR)</t>
  </si>
  <si>
    <t xml:space="preserve">P-101</t>
  </si>
  <si>
    <t xml:space="preserve">Raw water intake pump, 250 HP horizontal split case centrifugal, installed 2014. Priority 1. The star of the site.</t>
  </si>
  <si>
    <t xml:space="preserve">02, 03, 04, 12, 14</t>
  </si>
  <si>
    <t xml:space="preserve">P-102</t>
  </si>
  <si>
    <t xml:space="preserve">Twin of P-101, much healthier. Used for comparisons.</t>
  </si>
  <si>
    <t xml:space="preserve">12, 14</t>
  </si>
  <si>
    <t xml:space="preserve">M-101</t>
  </si>
  <si>
    <t xml:space="preserve">Motor on P-101 (rotating asset)</t>
  </si>
  <si>
    <t xml:space="preserve">02, 05</t>
  </si>
  <si>
    <t xml:space="preserve">M-117</t>
  </si>
  <si>
    <t xml:space="preserve">Spare motor, under 2-year warranty, swapped in for M-101</t>
  </si>
  <si>
    <t xml:space="preserve">CENTRAL / P-101</t>
  </si>
  <si>
    <t xml:space="preserve">02, 06</t>
  </si>
  <si>
    <t xml:space="preserve">C-101</t>
  </si>
  <si>
    <t xml:space="preserve">Coupling on P-101</t>
  </si>
  <si>
    <t xml:space="preserve">CL2-AN-01</t>
  </si>
  <si>
    <t xml:space="preserve">Chlorine analyzer, calibrated monthly</t>
  </si>
  <si>
    <t xml:space="preserve">04, 13</t>
  </si>
  <si>
    <t xml:space="preserve">WM-0450</t>
  </si>
  <si>
    <t xml:space="preserve">Water main, 2.3 km linear asset</t>
  </si>
  <si>
    <t xml:space="preserve">TRK-14</t>
  </si>
  <si>
    <t xml:space="preserve">Service truck</t>
  </si>
  <si>
    <t xml:space="preserve">RUNHOURS</t>
  </si>
  <si>
    <t xml:space="preserve">Continuous meter, drives meter-based PMs</t>
  </si>
  <si>
    <t xml:space="preserve">VIBRATION</t>
  </si>
  <si>
    <t xml:space="preserve">Gauge meter in mm/s, condition monitoring limit 7.1</t>
  </si>
  <si>
    <t xml:space="preserve">02, 12</t>
  </si>
  <si>
    <t xml:space="preserve">OIL-CONDITION</t>
  </si>
  <si>
    <t xml:space="preserve">Characteristic meter: CLEAR, CLOUDY, DARK</t>
  </si>
  <si>
    <t xml:space="preserve">1001-SEAL</t>
  </si>
  <si>
    <t xml:space="preserve">Mechanical seal kit (kit item), average cost $310</t>
  </si>
  <si>
    <t xml:space="preserve">RWAITEMS / CENTRAL</t>
  </si>
  <si>
    <t xml:space="preserve">2040</t>
  </si>
  <si>
    <t xml:space="preserve">Pump bearing</t>
  </si>
  <si>
    <t xml:space="preserve">JP-SEAL-CENT</t>
  </si>
  <si>
    <t xml:space="preserve">Replace mechanical seal on centrifugal pump</t>
  </si>
  <si>
    <t xml:space="preserve">JP-INSP-PUMP</t>
  </si>
  <si>
    <t xml:space="preserve">Quarterly pump inspection</t>
  </si>
  <si>
    <t xml:space="preserve">JP-LOTO-PUMP</t>
  </si>
  <si>
    <t xml:space="preserve">Lockout steps, nested in other pump job plans</t>
  </si>
  <si>
    <t xml:space="preserve">PM</t>
  </si>
  <si>
    <t xml:space="preserve">PM-P101-QTR</t>
  </si>
  <si>
    <t xml:space="preserve">Quarterly inspection of P-101, 14-day lead time</t>
  </si>
  <si>
    <t xml:space="preserve">PM-P101-LUBE</t>
  </si>
  <si>
    <t xml:space="preserve">Lubrication every 500 run hours</t>
  </si>
  <si>
    <t xml:space="preserve">RT-TP1-DAILY</t>
  </si>
  <si>
    <t xml:space="preserve">Daily operator round: intake, filters, chemical feed, clearwell</t>
  </si>
  <si>
    <t xml:space="preserve">SP-PUMP-LOTO</t>
  </si>
  <si>
    <t xml:space="preserve">Rotating equipment, stored energy and confined space hazards</t>
  </si>
  <si>
    <t xml:space="preserve">50231</t>
  </si>
  <si>
    <t xml:space="preserve">Replace seal on P-101 (CM, priority 1). The main example work order.</t>
  </si>
  <si>
    <t xml:space="preserve">03, 05, 08</t>
  </si>
  <si>
    <t xml:space="preserve">50400</t>
  </si>
  <si>
    <t xml:space="preserve">TP1 annual shutdown (parent with 37 children)</t>
  </si>
  <si>
    <t xml:space="preserve">03, 07</t>
  </si>
  <si>
    <t xml:space="preserve">3412</t>
  </si>
  <si>
    <t xml:space="preserve">Water pooling under P-101, reported by an operator</t>
  </si>
  <si>
    <t xml:space="preserve">03</t>
  </si>
  <si>
    <t xml:space="preserve">Purchase Order</t>
  </si>
  <si>
    <t xml:space="preserve">22014</t>
  </si>
  <si>
    <t xml:space="preserve">4 x 1001-SEAL from Northshore Pump Supply</t>
  </si>
  <si>
    <t xml:space="preserve">06</t>
  </si>
  <si>
    <t xml:space="preserve">Company</t>
  </si>
  <si>
    <t xml:space="preserve">Northshore Pump Supply</t>
  </si>
  <si>
    <t xml:space="preserve">Main parts vendor</t>
  </si>
  <si>
    <t xml:space="preserve">Company set</t>
  </si>
  <si>
    <t xml:space="preserve">Apex Pumps</t>
  </si>
  <si>
    <t xml:space="preserve">Manufacturer of P-101 and M-117</t>
  </si>
  <si>
    <t xml:space="preserve">MECH / ELEC / INST / OPER</t>
  </si>
  <si>
    <t xml:space="preserve">Mechanic, electrician, instrument tech, operator</t>
  </si>
  <si>
    <t xml:space="preserve">07</t>
  </si>
  <si>
    <t xml:space="preserve">Person / Labor</t>
  </si>
  <si>
    <t xml:space="preserve">Dev Patel (DPATEL)</t>
  </si>
  <si>
    <t xml:space="preserve">Journeyman mechanic, does most example jobs</t>
  </si>
  <si>
    <t xml:space="preserve">MECH</t>
  </si>
  <si>
    <t xml:space="preserve">Ana Moreau</t>
  </si>
  <si>
    <t xml:space="preserve">Maintenance planner at TP1</t>
  </si>
  <si>
    <t xml:space="preserve">01, 03, 07</t>
  </si>
  <si>
    <t xml:space="preserve">TP1-SUPV</t>
  </si>
  <si>
    <t xml:space="preserve">Shift supervisors at TP1</t>
  </si>
  <si>
    <t xml:space="preserve">07, 09</t>
  </si>
  <si>
    <t xml:space="preserve">Learning Path</t>
  </si>
  <si>
    <t xml:space="preserve">Step</t>
  </si>
  <si>
    <t xml:space="preserve">Term ID (linked)</t>
  </si>
  <si>
    <t xml:space="preserve">Difficulty (linked)</t>
  </si>
  <si>
    <t xml:space="preserve">Module (linked)</t>
  </si>
  <si>
    <t xml:space="preserve">1. Your first week in Maximo</t>
  </si>
  <si>
    <t xml:space="preserve">2. Maintenance planner basics</t>
  </si>
  <si>
    <t xml:space="preserve">3. Storeroom basics</t>
  </si>
  <si>
    <t xml:space="preserve">4. From Maximo 7.6 to MAS</t>
  </si>
  <si>
    <t xml:space="preserve">5. Reliability and asset performance</t>
  </si>
  <si>
    <t xml:space="preserve">6. Admin and configuration</t>
  </si>
  <si>
    <t xml:space="preserve">Source</t>
  </si>
  <si>
    <t xml:space="preserve">What it confirms</t>
  </si>
  <si>
    <t xml:space="preserve">URL</t>
  </si>
  <si>
    <t xml:space="preserve">IBM Support: Readme for Maximo Application Suite 9.2.0</t>
  </si>
  <si>
    <t xml:space="preserve">MAS 9.2.0 release date (June 25, 2026) and the components included (Core, Manage, Optimizer, IoT, Monitor, Predict, AI Service).</t>
  </si>
  <si>
    <t xml:space="preserve">https://www.ibm.com/support/pages/node/7277376</t>
  </si>
  <si>
    <t xml:space="preserve">IBM: Licensing in Maximo Application Suite 9.1 (PDF)</t>
  </si>
  <si>
    <t xml:space="preserve">Applications covered by MAS licensing, including Manage, Monitor, Health, Predict and Real Estate and Facilities; AppPoints consumption tables.</t>
  </si>
  <si>
    <t xml:space="preserve">https://www.ibm.com/docs/en/SSRHPA_cd/pdf/mas_licensing_91.pdf</t>
  </si>
  <si>
    <t xml:space="preserve">IBM Support: End of Support Announcement for Maximo 7.6.1</t>
  </si>
  <si>
    <t xml:space="preserve">Base support for Maximo Asset Management 7.6.1.x and related industry solutions ended September 30, 2025.</t>
  </si>
  <si>
    <t xml:space="preserve">https://www.ibm.com/support/pages/node/6570953</t>
  </si>
  <si>
    <t xml:space="preserve">IBM Support: Maximo 7.6.1.3 last interim fix</t>
  </si>
  <si>
    <t xml:space="preserve">Last interim fix for 7.6.1.x on September 30, 2025; support extension needed after that date.</t>
  </si>
  <si>
    <t xml:space="preserve">https://www.ibm.com/support/pages/node/7243602</t>
  </si>
  <si>
    <t xml:space="preserve">IBM Community: Important update for Maximo users</t>
  </si>
  <si>
    <t xml:space="preserve">Extended support for 7.6.x through September 30, 2026; architecture differences between 7.6 and MAS.</t>
  </si>
  <si>
    <t xml:space="preserve">https://community.ibm.com/community/user/asset-facilities/discussion/important-update-for-ibm-maximo-users</t>
  </si>
  <si>
    <t xml:space="preserve">IBM product update deck (user group, July 2025)</t>
  </si>
  <si>
    <t xml:space="preserve">MAS 9.1 GA June 24, 2025; Maximo Assistant, Asset Investment Planning, Real Estate and Facilities, Maintenance Cost Insights; direct upgrade from 7.6.0.10, 7.6.1.2, 7.6.1.3; Mobile Incident Reporter.</t>
  </si>
  <si>
    <t xml:space="preserve">https://pacmug.org/wp-content/uploads/2025/07/PacMUGS2505_MaximoApplicationSuiteUpdate_IBM.pdf</t>
  </si>
  <si>
    <t xml:space="preserve">IBM Support: MAS AI Service 9.2.x releases</t>
  </si>
  <si>
    <t xml:space="preserve">AI Service updates through 2026, including natural language query support for more Manage objects.</t>
  </si>
  <si>
    <t xml:space="preserve">https://www.ibm.com/support/pages/node/7270126</t>
  </si>
  <si>
    <t xml:space="preserve">Red Hat blog: MAS and OpenShift</t>
  </si>
  <si>
    <t xml:space="preserve">MAS application lineup and that MAS runs on Red Hat OpenShift.</t>
  </si>
  <si>
    <t xml:space="preserve">https://www.redhat.com/en/blog/ibm-maximo-application-suite-mas-and-red-hat-openshift</t>
  </si>
  <si>
    <t xml:space="preserve">IBM Docs (primary reference for every row)</t>
  </si>
  <si>
    <t xml:space="preserve">Search 'Maximo Application Suite' at ibm.com/docs and pick your exact version. Use the 'Verify In' column to find the right section.</t>
  </si>
  <si>
    <t xml:space="preserve">https://www.ibm.com/docs</t>
  </si>
</sst>
</file>

<file path=xl/styles.xml><?xml version="1.0" encoding="utf-8"?>
<styleSheet xmlns="http://schemas.openxmlformats.org/spreadsheetml/2006/main">
  <numFmts count="2">
    <numFmt numFmtId="164" formatCode="General"/>
    <numFmt numFmtId="165" formatCode="0%"/>
  </numFmts>
  <fonts count="14">
    <font>
      <sz val="11"/>
      <color theme="1"/>
      <name val="Calibri"/>
      <family val="2"/>
      <charset val="1"/>
    </font>
    <font>
      <sz val="10"/>
      <name val="Arial"/>
      <family val="0"/>
    </font>
    <font>
      <sz val="10"/>
      <name val="Arial"/>
      <family val="0"/>
    </font>
    <font>
      <sz val="10"/>
      <name val="Arial"/>
      <family val="0"/>
    </font>
    <font>
      <b val="true"/>
      <sz val="18"/>
      <color rgb="FF1F3A5F"/>
      <name val="Arial"/>
      <family val="0"/>
      <charset val="1"/>
    </font>
    <font>
      <i val="true"/>
      <sz val="10"/>
      <color rgb="FF555555"/>
      <name val="Arial"/>
      <family val="0"/>
      <charset val="1"/>
    </font>
    <font>
      <b val="true"/>
      <sz val="10"/>
      <color rgb="FF1F3A5F"/>
      <name val="Arial"/>
      <family val="0"/>
      <charset val="1"/>
    </font>
    <font>
      <sz val="10"/>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b val="true"/>
      <sz val="10"/>
      <name val="Arial"/>
      <family val="0"/>
      <charset val="1"/>
    </font>
    <font>
      <b val="true"/>
      <sz val="14"/>
      <color rgb="FF1F3A5F"/>
      <name val="Arial"/>
      <family val="0"/>
      <charset val="1"/>
    </font>
    <font>
      <i val="true"/>
      <sz val="10"/>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F4F5F7"/>
        <bgColor rgb="FFEAF1F7"/>
      </patternFill>
    </fill>
    <fill>
      <patternFill patternType="solid">
        <fgColor rgb="FFEAF1F7"/>
        <bgColor rgb="FFF4F5F7"/>
      </patternFill>
    </fill>
    <fill>
      <patternFill patternType="solid">
        <fgColor rgb="FF2E7D7A"/>
        <bgColor rgb="FF008080"/>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A5F"/>
          <bgColor rgb="FF000000"/>
        </patternFill>
      </fill>
    </dxf>
    <dxf>
      <fill>
        <patternFill patternType="solid">
          <fgColor rgb="FFF4F5F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CE5CD"/>
          <bgColor rgb="FF000000"/>
        </patternFill>
      </fill>
    </dxf>
    <dxf>
      <fill>
        <patternFill>
          <bgColor rgb="FFD9EAD3"/>
        </patternFill>
      </fill>
    </dxf>
    <dxf>
      <fill>
        <patternFill>
          <bgColor rgb="FFB6D7A8"/>
        </patternFill>
      </fill>
    </dxf>
    <dxf>
      <fill>
        <patternFill>
          <bgColor rgb="FFFFF2CC"/>
        </patternFill>
      </fill>
    </dxf>
    <dxf>
      <fill>
        <patternFill>
          <bgColor rgb="FFFCE5CD"/>
        </patternFill>
      </fill>
    </dxf>
    <dxf>
      <fill>
        <patternFill patternType="solid">
          <fgColor rgb="FF2E7D7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88888"/>
      <rgbColor rgb="FF9999FF"/>
      <rgbColor rgb="FF993366"/>
      <rgbColor rgb="FFFFF2CC"/>
      <rgbColor rgb="FFEAF1F7"/>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4F5F7"/>
      <rgbColor rgb="FFD9EAD3"/>
      <rgbColor rgb="FFFFFF99"/>
      <rgbColor rgb="FF99CCFF"/>
      <rgbColor rgb="FFFF99CC"/>
      <rgbColor rgb="FFCC99FF"/>
      <rgbColor rgb="FFFCE5CD"/>
      <rgbColor rgb="FF3366FF"/>
      <rgbColor rgb="FF33CCCC"/>
      <rgbColor rgb="FF99CC00"/>
      <rgbColor rgb="FFFFCC00"/>
      <rgbColor rgb="FFFF9900"/>
      <rgbColor rgb="FFFF6600"/>
      <rgbColor rgb="FF555555"/>
      <rgbColor rgb="FF969696"/>
      <rgbColor rgb="FF1F3A5F"/>
      <rgbColor rgb="FF2E7D7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B2:C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2" customFormat="false" ht="22.05" hidden="false" customHeight="false" outlineLevel="0" collapsed="false">
      <c r="B2" s="1" t="s">
        <v>0</v>
      </c>
    </row>
    <row r="3" customFormat="false" ht="15" hidden="false" customHeight="false" outlineLevel="0" collapsed="false">
      <c r="B3" s="2" t="s">
        <v>1</v>
      </c>
    </row>
    <row r="5" customFormat="false" ht="30" hidden="false" customHeight="true" outlineLevel="0" collapsed="false">
      <c r="B5" s="3" t="s">
        <v>2</v>
      </c>
      <c r="C5" s="4" t="s">
        <v>3</v>
      </c>
    </row>
    <row r="6" customFormat="false" ht="15" hidden="false" customHeight="false" outlineLevel="0" collapsed="false">
      <c r="B6" s="3" t="s">
        <v>4</v>
      </c>
      <c r="C6" s="4" t="n">
        <f aca="false">COUNTA('Term Map'!D2:D319)</f>
        <v>318</v>
      </c>
    </row>
    <row r="7" customFormat="false" ht="15" hidden="false" customHeight="false" outlineLevel="0" collapsed="false">
      <c r="B7" s="3" t="s">
        <v>5</v>
      </c>
      <c r="C7" s="4" t="n">
        <f aca="false">COUNTIF('Term Map'!N2:N319,"Verified")+COUNTIF('Term Map'!N2:N319,"Published")</f>
        <v>0</v>
      </c>
    </row>
    <row r="8" customFormat="false" ht="15" hidden="false" customHeight="false" outlineLevel="0" collapsed="false">
      <c r="B8" s="3" t="s">
        <v>6</v>
      </c>
      <c r="C8" s="5" t="n">
        <f aca="false">IFERROR(C7/C6,0)</f>
        <v>0</v>
      </c>
    </row>
    <row r="9" customFormat="false" ht="94.5" hidden="false" customHeight="true" outlineLevel="0" collapsed="false">
      <c r="B9" s="3" t="s">
        <v>7</v>
      </c>
      <c r="C9" s="4" t="s">
        <v>8</v>
      </c>
    </row>
    <row r="10" customFormat="false" ht="15" hidden="false" customHeight="false" outlineLevel="0" collapsed="false">
      <c r="B10" s="3" t="s">
        <v>9</v>
      </c>
      <c r="C10" s="4" t="s">
        <v>10</v>
      </c>
    </row>
    <row r="11" customFormat="false" ht="15" hidden="false" customHeight="false" outlineLevel="0" collapsed="false">
      <c r="B11" s="3" t="s">
        <v>11</v>
      </c>
      <c r="C11" s="4" t="s">
        <v>12</v>
      </c>
    </row>
    <row r="12" customFormat="false" ht="23.85" hidden="false" customHeight="false" outlineLevel="0" collapsed="false">
      <c r="B12" s="3" t="s">
        <v>13</v>
      </c>
      <c r="C12" s="4" t="s">
        <v>14</v>
      </c>
    </row>
    <row r="13" customFormat="false" ht="45" hidden="false" customHeight="true" outlineLevel="0" collapsed="false">
      <c r="B13" s="3" t="s">
        <v>15</v>
      </c>
      <c r="C13" s="4" t="s">
        <v>16</v>
      </c>
    </row>
    <row r="14" customFormat="false" ht="23.85" hidden="false" customHeight="false" outlineLevel="0" collapsed="false">
      <c r="B14" s="3" t="s">
        <v>17</v>
      </c>
      <c r="C14" s="4"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Q3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18"/>
    <col collapsed="false" customWidth="true" hidden="false" outlineLevel="0" max="4" min="4" style="0" width="28"/>
    <col collapsed="false" customWidth="true" hidden="false" outlineLevel="0" max="5" min="5" style="0" width="16"/>
    <col collapsed="false" customWidth="true" hidden="false" outlineLevel="0" max="6" min="6" style="0" width="60"/>
    <col collapsed="false" customWidth="true" hidden="false" outlineLevel="0" max="7" min="7" style="0" width="34"/>
    <col collapsed="false" customWidth="true" hidden="false" outlineLevel="0" max="8" min="8" style="0" width="52"/>
    <col collapsed="false" customWidth="true" hidden="false" outlineLevel="0" max="9" min="9" style="0" width="34"/>
    <col collapsed="false" customWidth="true" hidden="false" outlineLevel="0" max="10" min="10" style="0" width="46"/>
    <col collapsed="false" customWidth="true" hidden="false" outlineLevel="0" max="11" min="11" style="0" width="12"/>
    <col collapsed="false" customWidth="true" hidden="false" outlineLevel="0" max="12" min="12" style="0" width="40"/>
    <col collapsed="false" customWidth="true" hidden="false" outlineLevel="0" max="13" min="13" style="0" width="34"/>
    <col collapsed="false" customWidth="true" hidden="false" outlineLevel="0" max="14" min="14" style="0" width="14"/>
    <col collapsed="false" customWidth="true" hidden="false" outlineLevel="0" max="15" min="15" style="0" width="16"/>
    <col collapsed="false" customWidth="true" hidden="false" outlineLevel="0" max="17" min="16" style="0" width="30"/>
  </cols>
  <sheetData>
    <row r="1" customFormat="false" ht="31.5" hidden="false" customHeight="true" outlineLevel="0" collapsed="false">
      <c r="A1" s="6" t="s">
        <v>19</v>
      </c>
      <c r="B1" s="6" t="s">
        <v>20</v>
      </c>
      <c r="C1" s="6" t="s">
        <v>21</v>
      </c>
      <c r="D1" s="6" t="s">
        <v>22</v>
      </c>
      <c r="E1" s="6" t="s">
        <v>23</v>
      </c>
      <c r="F1" s="6" t="s">
        <v>24</v>
      </c>
      <c r="G1" s="6" t="s">
        <v>25</v>
      </c>
      <c r="H1" s="6" t="s">
        <v>26</v>
      </c>
      <c r="I1" s="6" t="s">
        <v>27</v>
      </c>
      <c r="J1" s="6" t="s">
        <v>28</v>
      </c>
      <c r="K1" s="6" t="s">
        <v>29</v>
      </c>
      <c r="L1" s="6" t="s">
        <v>30</v>
      </c>
      <c r="M1" s="6" t="s">
        <v>31</v>
      </c>
      <c r="N1" s="6" t="s">
        <v>32</v>
      </c>
      <c r="O1" s="6" t="s">
        <v>33</v>
      </c>
      <c r="P1" s="6" t="s">
        <v>34</v>
      </c>
      <c r="Q1" s="6" t="s">
        <v>35</v>
      </c>
    </row>
    <row r="2" customFormat="false" ht="46.25" hidden="false" customHeight="false" outlineLevel="0" collapsed="false">
      <c r="A2" s="7" t="s">
        <v>36</v>
      </c>
      <c r="B2" s="7" t="s">
        <v>37</v>
      </c>
      <c r="C2" s="7" t="s">
        <v>38</v>
      </c>
      <c r="D2" s="8" t="s">
        <v>39</v>
      </c>
      <c r="E2" s="7" t="s">
        <v>40</v>
      </c>
      <c r="F2" s="7" t="s">
        <v>41</v>
      </c>
      <c r="G2" s="7" t="s">
        <v>42</v>
      </c>
      <c r="H2" s="7" t="s">
        <v>43</v>
      </c>
      <c r="I2" s="7" t="s">
        <v>44</v>
      </c>
      <c r="J2" s="7" t="s">
        <v>45</v>
      </c>
      <c r="K2" s="7" t="s">
        <v>46</v>
      </c>
      <c r="L2" s="7" t="s">
        <v>47</v>
      </c>
      <c r="M2" s="7" t="s">
        <v>48</v>
      </c>
      <c r="N2" s="7" t="s">
        <v>49</v>
      </c>
      <c r="O2" s="7"/>
      <c r="P2" s="7"/>
      <c r="Q2" s="7" t="s">
        <v>50</v>
      </c>
    </row>
    <row r="3" customFormat="false" ht="35.05" hidden="false" customHeight="false" outlineLevel="0" collapsed="false">
      <c r="A3" s="9" t="s">
        <v>51</v>
      </c>
      <c r="B3" s="9" t="s">
        <v>37</v>
      </c>
      <c r="C3" s="9" t="s">
        <v>38</v>
      </c>
      <c r="D3" s="10" t="s">
        <v>52</v>
      </c>
      <c r="E3" s="9" t="s">
        <v>53</v>
      </c>
      <c r="F3" s="9" t="s">
        <v>54</v>
      </c>
      <c r="G3" s="9" t="s">
        <v>55</v>
      </c>
      <c r="H3" s="9" t="s">
        <v>56</v>
      </c>
      <c r="I3" s="9" t="s">
        <v>57</v>
      </c>
      <c r="J3" s="9" t="s">
        <v>58</v>
      </c>
      <c r="K3" s="9" t="s">
        <v>46</v>
      </c>
      <c r="L3" s="9"/>
      <c r="M3" s="9" t="s">
        <v>48</v>
      </c>
      <c r="N3" s="9" t="s">
        <v>49</v>
      </c>
      <c r="O3" s="9"/>
      <c r="P3" s="9"/>
      <c r="Q3" s="9" t="s">
        <v>59</v>
      </c>
    </row>
    <row r="4" customFormat="false" ht="35.05" hidden="false" customHeight="false" outlineLevel="0" collapsed="false">
      <c r="A4" s="7" t="s">
        <v>60</v>
      </c>
      <c r="B4" s="7" t="s">
        <v>37</v>
      </c>
      <c r="C4" s="7" t="s">
        <v>38</v>
      </c>
      <c r="D4" s="8" t="s">
        <v>61</v>
      </c>
      <c r="E4" s="7" t="s">
        <v>62</v>
      </c>
      <c r="F4" s="7" t="s">
        <v>63</v>
      </c>
      <c r="G4" s="7" t="s">
        <v>64</v>
      </c>
      <c r="H4" s="7" t="s">
        <v>65</v>
      </c>
      <c r="I4" s="7" t="s">
        <v>66</v>
      </c>
      <c r="J4" s="7" t="s">
        <v>67</v>
      </c>
      <c r="K4" s="7" t="s">
        <v>68</v>
      </c>
      <c r="L4" s="7"/>
      <c r="M4" s="7" t="s">
        <v>48</v>
      </c>
      <c r="N4" s="7" t="s">
        <v>49</v>
      </c>
      <c r="O4" s="7"/>
      <c r="P4" s="7"/>
      <c r="Q4" s="7" t="s">
        <v>69</v>
      </c>
    </row>
    <row r="5" customFormat="false" ht="35.05" hidden="false" customHeight="false" outlineLevel="0" collapsed="false">
      <c r="A5" s="9" t="s">
        <v>70</v>
      </c>
      <c r="B5" s="9" t="s">
        <v>37</v>
      </c>
      <c r="C5" s="9" t="s">
        <v>38</v>
      </c>
      <c r="D5" s="10" t="s">
        <v>71</v>
      </c>
      <c r="E5" s="9" t="s">
        <v>72</v>
      </c>
      <c r="F5" s="9" t="s">
        <v>73</v>
      </c>
      <c r="G5" s="9" t="s">
        <v>74</v>
      </c>
      <c r="H5" s="9" t="s">
        <v>75</v>
      </c>
      <c r="I5" s="9" t="s">
        <v>76</v>
      </c>
      <c r="J5" s="9"/>
      <c r="K5" s="9" t="s">
        <v>68</v>
      </c>
      <c r="L5" s="9"/>
      <c r="M5" s="9" t="s">
        <v>48</v>
      </c>
      <c r="N5" s="9" t="s">
        <v>49</v>
      </c>
      <c r="O5" s="9"/>
      <c r="P5" s="9"/>
      <c r="Q5" s="9" t="s">
        <v>77</v>
      </c>
    </row>
    <row r="6" customFormat="false" ht="35.05" hidden="false" customHeight="false" outlineLevel="0" collapsed="false">
      <c r="A6" s="7" t="s">
        <v>78</v>
      </c>
      <c r="B6" s="7" t="s">
        <v>37</v>
      </c>
      <c r="C6" s="7" t="s">
        <v>38</v>
      </c>
      <c r="D6" s="8" t="s">
        <v>79</v>
      </c>
      <c r="E6" s="7"/>
      <c r="F6" s="7" t="s">
        <v>80</v>
      </c>
      <c r="G6" s="7" t="s">
        <v>81</v>
      </c>
      <c r="H6" s="7" t="s">
        <v>82</v>
      </c>
      <c r="I6" s="7" t="s">
        <v>83</v>
      </c>
      <c r="J6" s="7"/>
      <c r="K6" s="7" t="s">
        <v>68</v>
      </c>
      <c r="L6" s="7"/>
      <c r="M6" s="7" t="s">
        <v>48</v>
      </c>
      <c r="N6" s="7" t="s">
        <v>49</v>
      </c>
      <c r="O6" s="7"/>
      <c r="P6" s="7"/>
      <c r="Q6" s="7" t="s">
        <v>84</v>
      </c>
    </row>
    <row r="7" customFormat="false" ht="23.85" hidden="false" customHeight="false" outlineLevel="0" collapsed="false">
      <c r="A7" s="9" t="s">
        <v>85</v>
      </c>
      <c r="B7" s="9" t="s">
        <v>37</v>
      </c>
      <c r="C7" s="9" t="s">
        <v>38</v>
      </c>
      <c r="D7" s="10" t="s">
        <v>86</v>
      </c>
      <c r="E7" s="9"/>
      <c r="F7" s="9" t="s">
        <v>87</v>
      </c>
      <c r="G7" s="9" t="s">
        <v>88</v>
      </c>
      <c r="H7" s="9" t="s">
        <v>89</v>
      </c>
      <c r="I7" s="9" t="s">
        <v>90</v>
      </c>
      <c r="J7" s="9" t="s">
        <v>91</v>
      </c>
      <c r="K7" s="9" t="s">
        <v>46</v>
      </c>
      <c r="L7" s="9"/>
      <c r="M7" s="9" t="s">
        <v>48</v>
      </c>
      <c r="N7" s="9" t="s">
        <v>49</v>
      </c>
      <c r="O7" s="9"/>
      <c r="P7" s="9"/>
      <c r="Q7" s="9" t="s">
        <v>92</v>
      </c>
    </row>
    <row r="8" customFormat="false" ht="35.05" hidden="false" customHeight="false" outlineLevel="0" collapsed="false">
      <c r="A8" s="7" t="s">
        <v>93</v>
      </c>
      <c r="B8" s="7" t="s">
        <v>37</v>
      </c>
      <c r="C8" s="7" t="s">
        <v>38</v>
      </c>
      <c r="D8" s="8" t="s">
        <v>94</v>
      </c>
      <c r="E8" s="7"/>
      <c r="F8" s="7" t="s">
        <v>95</v>
      </c>
      <c r="G8" s="7" t="s">
        <v>96</v>
      </c>
      <c r="H8" s="7" t="s">
        <v>97</v>
      </c>
      <c r="I8" s="7" t="s">
        <v>98</v>
      </c>
      <c r="J8" s="7"/>
      <c r="K8" s="7" t="s">
        <v>99</v>
      </c>
      <c r="L8" s="7"/>
      <c r="M8" s="7" t="s">
        <v>48</v>
      </c>
      <c r="N8" s="7" t="s">
        <v>49</v>
      </c>
      <c r="O8" s="7"/>
      <c r="P8" s="7"/>
      <c r="Q8" s="7" t="s">
        <v>100</v>
      </c>
    </row>
    <row r="9" customFormat="false" ht="23.85" hidden="false" customHeight="false" outlineLevel="0" collapsed="false">
      <c r="A9" s="9" t="s">
        <v>101</v>
      </c>
      <c r="B9" s="9" t="s">
        <v>37</v>
      </c>
      <c r="C9" s="9" t="s">
        <v>38</v>
      </c>
      <c r="D9" s="10" t="s">
        <v>102</v>
      </c>
      <c r="E9" s="9"/>
      <c r="F9" s="9" t="s">
        <v>103</v>
      </c>
      <c r="G9" s="9" t="s">
        <v>104</v>
      </c>
      <c r="H9" s="9" t="s">
        <v>105</v>
      </c>
      <c r="I9" s="9" t="s">
        <v>106</v>
      </c>
      <c r="J9" s="9"/>
      <c r="K9" s="9" t="s">
        <v>68</v>
      </c>
      <c r="L9" s="9"/>
      <c r="M9" s="9" t="s">
        <v>48</v>
      </c>
      <c r="N9" s="9" t="s">
        <v>49</v>
      </c>
      <c r="O9" s="9"/>
      <c r="P9" s="9"/>
      <c r="Q9" s="9" t="s">
        <v>107</v>
      </c>
    </row>
    <row r="10" customFormat="false" ht="35.05" hidden="false" customHeight="false" outlineLevel="0" collapsed="false">
      <c r="A10" s="7" t="s">
        <v>108</v>
      </c>
      <c r="B10" s="7" t="s">
        <v>37</v>
      </c>
      <c r="C10" s="7" t="s">
        <v>109</v>
      </c>
      <c r="D10" s="8" t="s">
        <v>110</v>
      </c>
      <c r="E10" s="7"/>
      <c r="F10" s="7" t="s">
        <v>111</v>
      </c>
      <c r="G10" s="7" t="s">
        <v>112</v>
      </c>
      <c r="H10" s="7" t="s">
        <v>113</v>
      </c>
      <c r="I10" s="7" t="s">
        <v>114</v>
      </c>
      <c r="J10" s="7"/>
      <c r="K10" s="7" t="s">
        <v>46</v>
      </c>
      <c r="L10" s="7" t="s">
        <v>115</v>
      </c>
      <c r="M10" s="7" t="s">
        <v>48</v>
      </c>
      <c r="N10" s="7" t="s">
        <v>49</v>
      </c>
      <c r="O10" s="7"/>
      <c r="P10" s="7"/>
      <c r="Q10" s="7" t="s">
        <v>116</v>
      </c>
    </row>
    <row r="11" customFormat="false" ht="23.85" hidden="false" customHeight="false" outlineLevel="0" collapsed="false">
      <c r="A11" s="9" t="s">
        <v>117</v>
      </c>
      <c r="B11" s="9" t="s">
        <v>37</v>
      </c>
      <c r="C11" s="9" t="s">
        <v>109</v>
      </c>
      <c r="D11" s="10" t="s">
        <v>20</v>
      </c>
      <c r="E11" s="9"/>
      <c r="F11" s="9" t="s">
        <v>118</v>
      </c>
      <c r="G11" s="9" t="s">
        <v>112</v>
      </c>
      <c r="H11" s="9" t="s">
        <v>119</v>
      </c>
      <c r="I11" s="9" t="s">
        <v>110</v>
      </c>
      <c r="J11" s="9"/>
      <c r="K11" s="9" t="s">
        <v>46</v>
      </c>
      <c r="L11" s="9"/>
      <c r="M11" s="9" t="s">
        <v>48</v>
      </c>
      <c r="N11" s="9" t="s">
        <v>49</v>
      </c>
      <c r="O11" s="9"/>
      <c r="P11" s="9"/>
      <c r="Q11" s="9" t="s">
        <v>120</v>
      </c>
    </row>
    <row r="12" customFormat="false" ht="23.85" hidden="false" customHeight="false" outlineLevel="0" collapsed="false">
      <c r="A12" s="7" t="s">
        <v>121</v>
      </c>
      <c r="B12" s="7" t="s">
        <v>37</v>
      </c>
      <c r="C12" s="7" t="s">
        <v>109</v>
      </c>
      <c r="D12" s="8" t="s">
        <v>122</v>
      </c>
      <c r="E12" s="7"/>
      <c r="F12" s="7" t="s">
        <v>123</v>
      </c>
      <c r="G12" s="7" t="s">
        <v>124</v>
      </c>
      <c r="H12" s="7" t="s">
        <v>125</v>
      </c>
      <c r="I12" s="7" t="s">
        <v>126</v>
      </c>
      <c r="J12" s="7"/>
      <c r="K12" s="7" t="s">
        <v>46</v>
      </c>
      <c r="L12" s="7"/>
      <c r="M12" s="7" t="s">
        <v>48</v>
      </c>
      <c r="N12" s="7" t="s">
        <v>49</v>
      </c>
      <c r="O12" s="7"/>
      <c r="P12" s="7"/>
      <c r="Q12" s="7" t="s">
        <v>127</v>
      </c>
    </row>
    <row r="13" customFormat="false" ht="35.05" hidden="false" customHeight="false" outlineLevel="0" collapsed="false">
      <c r="A13" s="9" t="s">
        <v>128</v>
      </c>
      <c r="B13" s="9" t="s">
        <v>37</v>
      </c>
      <c r="C13" s="9" t="s">
        <v>109</v>
      </c>
      <c r="D13" s="10" t="s">
        <v>129</v>
      </c>
      <c r="E13" s="9" t="s">
        <v>130</v>
      </c>
      <c r="F13" s="9" t="s">
        <v>131</v>
      </c>
      <c r="G13" s="9" t="s">
        <v>132</v>
      </c>
      <c r="H13" s="9" t="s">
        <v>133</v>
      </c>
      <c r="I13" s="9" t="s">
        <v>134</v>
      </c>
      <c r="J13" s="9" t="s">
        <v>135</v>
      </c>
      <c r="K13" s="9" t="s">
        <v>46</v>
      </c>
      <c r="L13" s="9"/>
      <c r="M13" s="9" t="s">
        <v>48</v>
      </c>
      <c r="N13" s="9" t="s">
        <v>49</v>
      </c>
      <c r="O13" s="9"/>
      <c r="P13" s="9"/>
      <c r="Q13" s="9" t="s">
        <v>136</v>
      </c>
    </row>
    <row r="14" customFormat="false" ht="23.85" hidden="false" customHeight="false" outlineLevel="0" collapsed="false">
      <c r="A14" s="7" t="s">
        <v>137</v>
      </c>
      <c r="B14" s="7" t="s">
        <v>37</v>
      </c>
      <c r="C14" s="7" t="s">
        <v>109</v>
      </c>
      <c r="D14" s="8" t="s">
        <v>138</v>
      </c>
      <c r="E14" s="7"/>
      <c r="F14" s="7" t="s">
        <v>139</v>
      </c>
      <c r="G14" s="7" t="s">
        <v>140</v>
      </c>
      <c r="H14" s="7" t="s">
        <v>141</v>
      </c>
      <c r="I14" s="7" t="s">
        <v>142</v>
      </c>
      <c r="J14" s="7"/>
      <c r="K14" s="7" t="s">
        <v>46</v>
      </c>
      <c r="L14" s="7"/>
      <c r="M14" s="7" t="s">
        <v>48</v>
      </c>
      <c r="N14" s="7" t="s">
        <v>49</v>
      </c>
      <c r="O14" s="7"/>
      <c r="P14" s="7"/>
      <c r="Q14" s="7" t="s">
        <v>143</v>
      </c>
    </row>
    <row r="15" customFormat="false" ht="35.05" hidden="false" customHeight="false" outlineLevel="0" collapsed="false">
      <c r="A15" s="9" t="s">
        <v>144</v>
      </c>
      <c r="B15" s="9" t="s">
        <v>37</v>
      </c>
      <c r="C15" s="9" t="s">
        <v>109</v>
      </c>
      <c r="D15" s="10" t="s">
        <v>145</v>
      </c>
      <c r="E15" s="9" t="s">
        <v>146</v>
      </c>
      <c r="F15" s="9" t="s">
        <v>147</v>
      </c>
      <c r="G15" s="9" t="s">
        <v>148</v>
      </c>
      <c r="H15" s="9" t="s">
        <v>149</v>
      </c>
      <c r="I15" s="9" t="s">
        <v>150</v>
      </c>
      <c r="J15" s="9"/>
      <c r="K15" s="9" t="s">
        <v>46</v>
      </c>
      <c r="L15" s="9" t="s">
        <v>151</v>
      </c>
      <c r="M15" s="9" t="s">
        <v>48</v>
      </c>
      <c r="N15" s="9" t="s">
        <v>49</v>
      </c>
      <c r="O15" s="9"/>
      <c r="P15" s="9"/>
      <c r="Q15" s="9" t="s">
        <v>152</v>
      </c>
    </row>
    <row r="16" customFormat="false" ht="23.85" hidden="false" customHeight="false" outlineLevel="0" collapsed="false">
      <c r="A16" s="7" t="s">
        <v>153</v>
      </c>
      <c r="B16" s="7" t="s">
        <v>37</v>
      </c>
      <c r="C16" s="7" t="s">
        <v>109</v>
      </c>
      <c r="D16" s="8" t="s">
        <v>154</v>
      </c>
      <c r="E16" s="7" t="s">
        <v>155</v>
      </c>
      <c r="F16" s="7" t="s">
        <v>156</v>
      </c>
      <c r="G16" s="7" t="s">
        <v>157</v>
      </c>
      <c r="H16" s="7" t="s">
        <v>158</v>
      </c>
      <c r="I16" s="7" t="s">
        <v>138</v>
      </c>
      <c r="J16" s="7"/>
      <c r="K16" s="7" t="s">
        <v>46</v>
      </c>
      <c r="L16" s="7"/>
      <c r="M16" s="7" t="s">
        <v>48</v>
      </c>
      <c r="N16" s="7" t="s">
        <v>49</v>
      </c>
      <c r="O16" s="7"/>
      <c r="P16" s="7"/>
      <c r="Q16" s="7" t="s">
        <v>159</v>
      </c>
    </row>
    <row r="17" customFormat="false" ht="35.05" hidden="false" customHeight="false" outlineLevel="0" collapsed="false">
      <c r="A17" s="9" t="s">
        <v>160</v>
      </c>
      <c r="B17" s="9" t="s">
        <v>37</v>
      </c>
      <c r="C17" s="9" t="s">
        <v>109</v>
      </c>
      <c r="D17" s="10" t="s">
        <v>161</v>
      </c>
      <c r="E17" s="9"/>
      <c r="F17" s="9" t="s">
        <v>162</v>
      </c>
      <c r="G17" s="9" t="s">
        <v>163</v>
      </c>
      <c r="H17" s="9" t="s">
        <v>164</v>
      </c>
      <c r="I17" s="9" t="s">
        <v>165</v>
      </c>
      <c r="J17" s="9"/>
      <c r="K17" s="9" t="s">
        <v>46</v>
      </c>
      <c r="L17" s="9"/>
      <c r="M17" s="9" t="s">
        <v>48</v>
      </c>
      <c r="N17" s="9" t="s">
        <v>49</v>
      </c>
      <c r="O17" s="9"/>
      <c r="P17" s="9"/>
      <c r="Q17" s="9" t="s">
        <v>166</v>
      </c>
    </row>
    <row r="18" customFormat="false" ht="35.05" hidden="false" customHeight="false" outlineLevel="0" collapsed="false">
      <c r="A18" s="7" t="s">
        <v>167</v>
      </c>
      <c r="B18" s="7" t="s">
        <v>37</v>
      </c>
      <c r="C18" s="7" t="s">
        <v>109</v>
      </c>
      <c r="D18" s="8" t="s">
        <v>168</v>
      </c>
      <c r="E18" s="7"/>
      <c r="F18" s="7" t="s">
        <v>169</v>
      </c>
      <c r="G18" s="7" t="s">
        <v>170</v>
      </c>
      <c r="H18" s="7" t="s">
        <v>171</v>
      </c>
      <c r="I18" s="7" t="s">
        <v>172</v>
      </c>
      <c r="J18" s="7"/>
      <c r="K18" s="7" t="s">
        <v>46</v>
      </c>
      <c r="L18" s="7"/>
      <c r="M18" s="7" t="s">
        <v>48</v>
      </c>
      <c r="N18" s="7" t="s">
        <v>49</v>
      </c>
      <c r="O18" s="7"/>
      <c r="P18" s="7"/>
      <c r="Q18" s="7" t="s">
        <v>173</v>
      </c>
    </row>
    <row r="19" customFormat="false" ht="35.05" hidden="false" customHeight="false" outlineLevel="0" collapsed="false">
      <c r="A19" s="9" t="s">
        <v>174</v>
      </c>
      <c r="B19" s="9" t="s">
        <v>37</v>
      </c>
      <c r="C19" s="9" t="s">
        <v>109</v>
      </c>
      <c r="D19" s="10" t="s">
        <v>175</v>
      </c>
      <c r="E19" s="9"/>
      <c r="F19" s="9" t="s">
        <v>176</v>
      </c>
      <c r="G19" s="9" t="s">
        <v>177</v>
      </c>
      <c r="H19" s="9"/>
      <c r="I19" s="9" t="s">
        <v>178</v>
      </c>
      <c r="J19" s="9"/>
      <c r="K19" s="9" t="s">
        <v>68</v>
      </c>
      <c r="L19" s="9" t="s">
        <v>179</v>
      </c>
      <c r="M19" s="9" t="s">
        <v>48</v>
      </c>
      <c r="N19" s="9" t="s">
        <v>49</v>
      </c>
      <c r="O19" s="9"/>
      <c r="P19" s="9"/>
      <c r="Q19" s="9" t="s">
        <v>180</v>
      </c>
    </row>
    <row r="20" customFormat="false" ht="23.85" hidden="false" customHeight="false" outlineLevel="0" collapsed="false">
      <c r="A20" s="7" t="s">
        <v>181</v>
      </c>
      <c r="B20" s="7" t="s">
        <v>37</v>
      </c>
      <c r="C20" s="7" t="s">
        <v>109</v>
      </c>
      <c r="D20" s="8" t="s">
        <v>182</v>
      </c>
      <c r="E20" s="7"/>
      <c r="F20" s="7" t="s">
        <v>183</v>
      </c>
      <c r="G20" s="7" t="s">
        <v>184</v>
      </c>
      <c r="H20" s="7" t="s">
        <v>185</v>
      </c>
      <c r="I20" s="7" t="s">
        <v>186</v>
      </c>
      <c r="J20" s="7"/>
      <c r="K20" s="7" t="s">
        <v>46</v>
      </c>
      <c r="L20" s="7"/>
      <c r="M20" s="7" t="s">
        <v>48</v>
      </c>
      <c r="N20" s="7" t="s">
        <v>49</v>
      </c>
      <c r="O20" s="7"/>
      <c r="P20" s="7"/>
      <c r="Q20" s="7" t="s">
        <v>187</v>
      </c>
    </row>
    <row r="21" customFormat="false" ht="35.05" hidden="false" customHeight="false" outlineLevel="0" collapsed="false">
      <c r="A21" s="9" t="s">
        <v>188</v>
      </c>
      <c r="B21" s="9" t="s">
        <v>189</v>
      </c>
      <c r="C21" s="9" t="s">
        <v>190</v>
      </c>
      <c r="D21" s="10" t="s">
        <v>191</v>
      </c>
      <c r="E21" s="9" t="s">
        <v>192</v>
      </c>
      <c r="F21" s="9" t="s">
        <v>193</v>
      </c>
      <c r="G21" s="9" t="s">
        <v>194</v>
      </c>
      <c r="H21" s="9" t="s">
        <v>195</v>
      </c>
      <c r="I21" s="9" t="s">
        <v>196</v>
      </c>
      <c r="J21" s="9" t="s">
        <v>197</v>
      </c>
      <c r="K21" s="9" t="s">
        <v>46</v>
      </c>
      <c r="L21" s="9"/>
      <c r="M21" s="9" t="s">
        <v>198</v>
      </c>
      <c r="N21" s="9" t="s">
        <v>49</v>
      </c>
      <c r="O21" s="9"/>
      <c r="P21" s="9"/>
      <c r="Q21" s="9" t="s">
        <v>199</v>
      </c>
    </row>
    <row r="22" customFormat="false" ht="35.05" hidden="false" customHeight="false" outlineLevel="0" collapsed="false">
      <c r="A22" s="7" t="s">
        <v>200</v>
      </c>
      <c r="B22" s="7" t="s">
        <v>189</v>
      </c>
      <c r="C22" s="7" t="s">
        <v>190</v>
      </c>
      <c r="D22" s="8" t="s">
        <v>201</v>
      </c>
      <c r="E22" s="7" t="s">
        <v>202</v>
      </c>
      <c r="F22" s="7" t="s">
        <v>203</v>
      </c>
      <c r="G22" s="7" t="s">
        <v>204</v>
      </c>
      <c r="H22" s="7" t="s">
        <v>205</v>
      </c>
      <c r="I22" s="7" t="s">
        <v>206</v>
      </c>
      <c r="J22" s="7"/>
      <c r="K22" s="7" t="s">
        <v>68</v>
      </c>
      <c r="L22" s="7"/>
      <c r="M22" s="7" t="s">
        <v>198</v>
      </c>
      <c r="N22" s="7" t="s">
        <v>49</v>
      </c>
      <c r="O22" s="7"/>
      <c r="P22" s="7"/>
      <c r="Q22" s="7" t="s">
        <v>207</v>
      </c>
    </row>
    <row r="23" customFormat="false" ht="23.85" hidden="false" customHeight="false" outlineLevel="0" collapsed="false">
      <c r="A23" s="9" t="s">
        <v>208</v>
      </c>
      <c r="B23" s="9" t="s">
        <v>189</v>
      </c>
      <c r="C23" s="9" t="s">
        <v>190</v>
      </c>
      <c r="D23" s="10" t="s">
        <v>209</v>
      </c>
      <c r="E23" s="9"/>
      <c r="F23" s="9" t="s">
        <v>210</v>
      </c>
      <c r="G23" s="9" t="s">
        <v>211</v>
      </c>
      <c r="H23" s="9" t="s">
        <v>212</v>
      </c>
      <c r="I23" s="9" t="s">
        <v>213</v>
      </c>
      <c r="J23" s="9"/>
      <c r="K23" s="9" t="s">
        <v>46</v>
      </c>
      <c r="L23" s="9"/>
      <c r="M23" s="9" t="s">
        <v>198</v>
      </c>
      <c r="N23" s="9" t="s">
        <v>49</v>
      </c>
      <c r="O23" s="9"/>
      <c r="P23" s="9"/>
      <c r="Q23" s="9" t="s">
        <v>214</v>
      </c>
    </row>
    <row r="24" customFormat="false" ht="35.05" hidden="false" customHeight="false" outlineLevel="0" collapsed="false">
      <c r="A24" s="7" t="s">
        <v>215</v>
      </c>
      <c r="B24" s="7" t="s">
        <v>189</v>
      </c>
      <c r="C24" s="7" t="s">
        <v>190</v>
      </c>
      <c r="D24" s="8" t="s">
        <v>216</v>
      </c>
      <c r="E24" s="7" t="s">
        <v>217</v>
      </c>
      <c r="F24" s="7" t="s">
        <v>218</v>
      </c>
      <c r="G24" s="7" t="s">
        <v>219</v>
      </c>
      <c r="H24" s="7" t="s">
        <v>220</v>
      </c>
      <c r="I24" s="7" t="s">
        <v>221</v>
      </c>
      <c r="J24" s="7"/>
      <c r="K24" s="7" t="s">
        <v>68</v>
      </c>
      <c r="L24" s="7"/>
      <c r="M24" s="7" t="s">
        <v>198</v>
      </c>
      <c r="N24" s="7" t="s">
        <v>49</v>
      </c>
      <c r="O24" s="7"/>
      <c r="P24" s="7"/>
      <c r="Q24" s="7" t="s">
        <v>222</v>
      </c>
    </row>
    <row r="25" customFormat="false" ht="23.85" hidden="false" customHeight="false" outlineLevel="0" collapsed="false">
      <c r="A25" s="9" t="s">
        <v>223</v>
      </c>
      <c r="B25" s="9" t="s">
        <v>189</v>
      </c>
      <c r="C25" s="9" t="s">
        <v>190</v>
      </c>
      <c r="D25" s="10" t="s">
        <v>224</v>
      </c>
      <c r="E25" s="9"/>
      <c r="F25" s="9" t="s">
        <v>225</v>
      </c>
      <c r="G25" s="9" t="s">
        <v>226</v>
      </c>
      <c r="H25" s="9" t="s">
        <v>227</v>
      </c>
      <c r="I25" s="9" t="s">
        <v>228</v>
      </c>
      <c r="J25" s="9"/>
      <c r="K25" s="9" t="s">
        <v>68</v>
      </c>
      <c r="L25" s="9"/>
      <c r="M25" s="9" t="s">
        <v>198</v>
      </c>
      <c r="N25" s="9" t="s">
        <v>49</v>
      </c>
      <c r="O25" s="9"/>
      <c r="P25" s="9"/>
      <c r="Q25" s="9" t="s">
        <v>229</v>
      </c>
    </row>
    <row r="26" customFormat="false" ht="35.05" hidden="false" customHeight="false" outlineLevel="0" collapsed="false">
      <c r="A26" s="7" t="s">
        <v>230</v>
      </c>
      <c r="B26" s="7" t="s">
        <v>189</v>
      </c>
      <c r="C26" s="7" t="s">
        <v>190</v>
      </c>
      <c r="D26" s="8" t="s">
        <v>231</v>
      </c>
      <c r="E26" s="7"/>
      <c r="F26" s="7" t="s">
        <v>232</v>
      </c>
      <c r="G26" s="7" t="s">
        <v>233</v>
      </c>
      <c r="H26" s="7" t="s">
        <v>234</v>
      </c>
      <c r="I26" s="7" t="s">
        <v>235</v>
      </c>
      <c r="J26" s="7"/>
      <c r="K26" s="7" t="s">
        <v>99</v>
      </c>
      <c r="L26" s="7"/>
      <c r="M26" s="7" t="s">
        <v>198</v>
      </c>
      <c r="N26" s="7" t="s">
        <v>49</v>
      </c>
      <c r="O26" s="7"/>
      <c r="P26" s="7"/>
      <c r="Q26" s="7" t="s">
        <v>236</v>
      </c>
    </row>
    <row r="27" customFormat="false" ht="23.85" hidden="false" customHeight="false" outlineLevel="0" collapsed="false">
      <c r="A27" s="9" t="s">
        <v>237</v>
      </c>
      <c r="B27" s="9" t="s">
        <v>189</v>
      </c>
      <c r="C27" s="9" t="s">
        <v>190</v>
      </c>
      <c r="D27" s="10" t="s">
        <v>238</v>
      </c>
      <c r="E27" s="9"/>
      <c r="F27" s="9" t="s">
        <v>239</v>
      </c>
      <c r="G27" s="9" t="s">
        <v>240</v>
      </c>
      <c r="H27" s="9" t="s">
        <v>241</v>
      </c>
      <c r="I27" s="9" t="s">
        <v>242</v>
      </c>
      <c r="J27" s="9"/>
      <c r="K27" s="9" t="s">
        <v>99</v>
      </c>
      <c r="L27" s="9"/>
      <c r="M27" s="9" t="s">
        <v>198</v>
      </c>
      <c r="N27" s="9" t="s">
        <v>49</v>
      </c>
      <c r="O27" s="9"/>
      <c r="P27" s="9"/>
      <c r="Q27" s="9" t="s">
        <v>243</v>
      </c>
    </row>
    <row r="28" customFormat="false" ht="35.05" hidden="false" customHeight="false" outlineLevel="0" collapsed="false">
      <c r="A28" s="7" t="s">
        <v>244</v>
      </c>
      <c r="B28" s="7" t="s">
        <v>189</v>
      </c>
      <c r="C28" s="7" t="s">
        <v>245</v>
      </c>
      <c r="D28" s="8" t="s">
        <v>246</v>
      </c>
      <c r="E28" s="7" t="s">
        <v>247</v>
      </c>
      <c r="F28" s="7" t="s">
        <v>248</v>
      </c>
      <c r="G28" s="7" t="s">
        <v>249</v>
      </c>
      <c r="H28" s="7" t="s">
        <v>250</v>
      </c>
      <c r="I28" s="7" t="s">
        <v>251</v>
      </c>
      <c r="J28" s="7" t="s">
        <v>252</v>
      </c>
      <c r="K28" s="7" t="s">
        <v>46</v>
      </c>
      <c r="L28" s="7"/>
      <c r="M28" s="7" t="s">
        <v>198</v>
      </c>
      <c r="N28" s="7" t="s">
        <v>49</v>
      </c>
      <c r="O28" s="7"/>
      <c r="P28" s="7"/>
      <c r="Q28" s="7" t="s">
        <v>253</v>
      </c>
    </row>
    <row r="29" customFormat="false" ht="35.05" hidden="false" customHeight="false" outlineLevel="0" collapsed="false">
      <c r="A29" s="9" t="s">
        <v>254</v>
      </c>
      <c r="B29" s="9" t="s">
        <v>189</v>
      </c>
      <c r="C29" s="9" t="s">
        <v>245</v>
      </c>
      <c r="D29" s="10" t="s">
        <v>255</v>
      </c>
      <c r="E29" s="9" t="s">
        <v>256</v>
      </c>
      <c r="F29" s="9" t="s">
        <v>257</v>
      </c>
      <c r="G29" s="9" t="s">
        <v>258</v>
      </c>
      <c r="H29" s="9" t="s">
        <v>259</v>
      </c>
      <c r="I29" s="9" t="s">
        <v>260</v>
      </c>
      <c r="J29" s="9" t="s">
        <v>261</v>
      </c>
      <c r="K29" s="9" t="s">
        <v>46</v>
      </c>
      <c r="L29" s="9"/>
      <c r="M29" s="9" t="s">
        <v>198</v>
      </c>
      <c r="N29" s="9" t="s">
        <v>49</v>
      </c>
      <c r="O29" s="9"/>
      <c r="P29" s="9"/>
      <c r="Q29" s="9" t="s">
        <v>262</v>
      </c>
    </row>
    <row r="30" customFormat="false" ht="35.05" hidden="false" customHeight="false" outlineLevel="0" collapsed="false">
      <c r="A30" s="7" t="s">
        <v>263</v>
      </c>
      <c r="B30" s="7" t="s">
        <v>189</v>
      </c>
      <c r="C30" s="7" t="s">
        <v>245</v>
      </c>
      <c r="D30" s="8" t="s">
        <v>264</v>
      </c>
      <c r="E30" s="7" t="s">
        <v>130</v>
      </c>
      <c r="F30" s="7" t="s">
        <v>265</v>
      </c>
      <c r="G30" s="7" t="s">
        <v>266</v>
      </c>
      <c r="H30" s="7" t="s">
        <v>267</v>
      </c>
      <c r="I30" s="7" t="s">
        <v>268</v>
      </c>
      <c r="J30" s="7" t="s">
        <v>269</v>
      </c>
      <c r="K30" s="7" t="s">
        <v>46</v>
      </c>
      <c r="L30" s="7"/>
      <c r="M30" s="7" t="s">
        <v>198</v>
      </c>
      <c r="N30" s="7" t="s">
        <v>49</v>
      </c>
      <c r="O30" s="7"/>
      <c r="P30" s="7"/>
      <c r="Q30" s="7" t="s">
        <v>270</v>
      </c>
    </row>
    <row r="31" customFormat="false" ht="35.05" hidden="false" customHeight="false" outlineLevel="0" collapsed="false">
      <c r="A31" s="9" t="s">
        <v>271</v>
      </c>
      <c r="B31" s="9" t="s">
        <v>189</v>
      </c>
      <c r="C31" s="9" t="s">
        <v>245</v>
      </c>
      <c r="D31" s="10" t="s">
        <v>272</v>
      </c>
      <c r="E31" s="9" t="s">
        <v>273</v>
      </c>
      <c r="F31" s="9" t="s">
        <v>274</v>
      </c>
      <c r="G31" s="9" t="s">
        <v>275</v>
      </c>
      <c r="H31" s="9" t="s">
        <v>276</v>
      </c>
      <c r="I31" s="9" t="s">
        <v>277</v>
      </c>
      <c r="J31" s="9" t="s">
        <v>278</v>
      </c>
      <c r="K31" s="9" t="s">
        <v>68</v>
      </c>
      <c r="L31" s="9"/>
      <c r="M31" s="9" t="s">
        <v>198</v>
      </c>
      <c r="N31" s="9" t="s">
        <v>49</v>
      </c>
      <c r="O31" s="9"/>
      <c r="P31" s="9"/>
      <c r="Q31" s="9" t="s">
        <v>279</v>
      </c>
    </row>
    <row r="32" customFormat="false" ht="23.85" hidden="false" customHeight="false" outlineLevel="0" collapsed="false">
      <c r="A32" s="7" t="s">
        <v>280</v>
      </c>
      <c r="B32" s="7" t="s">
        <v>189</v>
      </c>
      <c r="C32" s="7" t="s">
        <v>245</v>
      </c>
      <c r="D32" s="8" t="s">
        <v>281</v>
      </c>
      <c r="E32" s="7"/>
      <c r="F32" s="7" t="s">
        <v>282</v>
      </c>
      <c r="G32" s="7" t="s">
        <v>283</v>
      </c>
      <c r="H32" s="7" t="s">
        <v>284</v>
      </c>
      <c r="I32" s="7" t="s">
        <v>285</v>
      </c>
      <c r="J32" s="7"/>
      <c r="K32" s="7" t="s">
        <v>68</v>
      </c>
      <c r="L32" s="7"/>
      <c r="M32" s="7" t="s">
        <v>198</v>
      </c>
      <c r="N32" s="7" t="s">
        <v>49</v>
      </c>
      <c r="O32" s="7"/>
      <c r="P32" s="7"/>
      <c r="Q32" s="7" t="s">
        <v>286</v>
      </c>
    </row>
    <row r="33" customFormat="false" ht="23.85" hidden="false" customHeight="false" outlineLevel="0" collapsed="false">
      <c r="A33" s="9" t="s">
        <v>287</v>
      </c>
      <c r="B33" s="9" t="s">
        <v>189</v>
      </c>
      <c r="C33" s="9" t="s">
        <v>245</v>
      </c>
      <c r="D33" s="10" t="s">
        <v>288</v>
      </c>
      <c r="E33" s="9"/>
      <c r="F33" s="9" t="s">
        <v>289</v>
      </c>
      <c r="G33" s="9" t="s">
        <v>290</v>
      </c>
      <c r="H33" s="9" t="s">
        <v>291</v>
      </c>
      <c r="I33" s="9" t="s">
        <v>292</v>
      </c>
      <c r="J33" s="9"/>
      <c r="K33" s="9" t="s">
        <v>46</v>
      </c>
      <c r="L33" s="9"/>
      <c r="M33" s="9" t="s">
        <v>198</v>
      </c>
      <c r="N33" s="9" t="s">
        <v>49</v>
      </c>
      <c r="O33" s="9"/>
      <c r="P33" s="9"/>
      <c r="Q33" s="9" t="s">
        <v>293</v>
      </c>
    </row>
    <row r="34" customFormat="false" ht="23.85" hidden="false" customHeight="false" outlineLevel="0" collapsed="false">
      <c r="A34" s="7" t="s">
        <v>294</v>
      </c>
      <c r="B34" s="7" t="s">
        <v>189</v>
      </c>
      <c r="C34" s="7" t="s">
        <v>245</v>
      </c>
      <c r="D34" s="8" t="s">
        <v>295</v>
      </c>
      <c r="E34" s="7"/>
      <c r="F34" s="7" t="s">
        <v>296</v>
      </c>
      <c r="G34" s="7" t="s">
        <v>297</v>
      </c>
      <c r="H34" s="7" t="s">
        <v>298</v>
      </c>
      <c r="I34" s="7" t="s">
        <v>299</v>
      </c>
      <c r="J34" s="7"/>
      <c r="K34" s="7" t="s">
        <v>68</v>
      </c>
      <c r="L34" s="7"/>
      <c r="M34" s="7" t="s">
        <v>198</v>
      </c>
      <c r="N34" s="7" t="s">
        <v>49</v>
      </c>
      <c r="O34" s="7"/>
      <c r="P34" s="7"/>
      <c r="Q34" s="7" t="s">
        <v>300</v>
      </c>
    </row>
    <row r="35" customFormat="false" ht="23.85" hidden="false" customHeight="false" outlineLevel="0" collapsed="false">
      <c r="A35" s="9" t="s">
        <v>301</v>
      </c>
      <c r="B35" s="9" t="s">
        <v>189</v>
      </c>
      <c r="C35" s="9" t="s">
        <v>245</v>
      </c>
      <c r="D35" s="10" t="s">
        <v>302</v>
      </c>
      <c r="E35" s="9"/>
      <c r="F35" s="9" t="s">
        <v>303</v>
      </c>
      <c r="G35" s="9" t="s">
        <v>304</v>
      </c>
      <c r="H35" s="9" t="s">
        <v>305</v>
      </c>
      <c r="I35" s="9" t="s">
        <v>306</v>
      </c>
      <c r="J35" s="9"/>
      <c r="K35" s="9" t="s">
        <v>68</v>
      </c>
      <c r="L35" s="9"/>
      <c r="M35" s="9" t="s">
        <v>198</v>
      </c>
      <c r="N35" s="9" t="s">
        <v>49</v>
      </c>
      <c r="O35" s="9"/>
      <c r="P35" s="9"/>
      <c r="Q35" s="9" t="s">
        <v>307</v>
      </c>
    </row>
    <row r="36" customFormat="false" ht="35.05" hidden="false" customHeight="false" outlineLevel="0" collapsed="false">
      <c r="A36" s="7" t="s">
        <v>308</v>
      </c>
      <c r="B36" s="7" t="s">
        <v>189</v>
      </c>
      <c r="C36" s="7" t="s">
        <v>245</v>
      </c>
      <c r="D36" s="8" t="s">
        <v>309</v>
      </c>
      <c r="E36" s="7"/>
      <c r="F36" s="7" t="s">
        <v>310</v>
      </c>
      <c r="G36" s="7" t="s">
        <v>311</v>
      </c>
      <c r="H36" s="7" t="s">
        <v>312</v>
      </c>
      <c r="I36" s="7" t="s">
        <v>313</v>
      </c>
      <c r="J36" s="7"/>
      <c r="K36" s="7" t="s">
        <v>68</v>
      </c>
      <c r="L36" s="7"/>
      <c r="M36" s="7" t="s">
        <v>198</v>
      </c>
      <c r="N36" s="7" t="s">
        <v>49</v>
      </c>
      <c r="O36" s="7"/>
      <c r="P36" s="7"/>
      <c r="Q36" s="7" t="s">
        <v>314</v>
      </c>
    </row>
    <row r="37" customFormat="false" ht="23.85" hidden="false" customHeight="false" outlineLevel="0" collapsed="false">
      <c r="A37" s="9" t="s">
        <v>315</v>
      </c>
      <c r="B37" s="9" t="s">
        <v>189</v>
      </c>
      <c r="C37" s="9" t="s">
        <v>245</v>
      </c>
      <c r="D37" s="10" t="s">
        <v>316</v>
      </c>
      <c r="E37" s="9"/>
      <c r="F37" s="9" t="s">
        <v>317</v>
      </c>
      <c r="G37" s="9" t="s">
        <v>318</v>
      </c>
      <c r="H37" s="9" t="s">
        <v>319</v>
      </c>
      <c r="I37" s="9" t="s">
        <v>320</v>
      </c>
      <c r="J37" s="9"/>
      <c r="K37" s="9" t="s">
        <v>68</v>
      </c>
      <c r="L37" s="9"/>
      <c r="M37" s="9" t="s">
        <v>198</v>
      </c>
      <c r="N37" s="9" t="s">
        <v>49</v>
      </c>
      <c r="O37" s="9"/>
      <c r="P37" s="9"/>
      <c r="Q37" s="9" t="s">
        <v>321</v>
      </c>
    </row>
    <row r="38" customFormat="false" ht="23.85" hidden="false" customHeight="false" outlineLevel="0" collapsed="false">
      <c r="A38" s="7" t="s">
        <v>322</v>
      </c>
      <c r="B38" s="7" t="s">
        <v>189</v>
      </c>
      <c r="C38" s="7" t="s">
        <v>245</v>
      </c>
      <c r="D38" s="8" t="s">
        <v>323</v>
      </c>
      <c r="E38" s="7" t="s">
        <v>324</v>
      </c>
      <c r="F38" s="7" t="s">
        <v>325</v>
      </c>
      <c r="G38" s="7" t="s">
        <v>326</v>
      </c>
      <c r="H38" s="7" t="s">
        <v>327</v>
      </c>
      <c r="I38" s="7" t="s">
        <v>328</v>
      </c>
      <c r="J38" s="7"/>
      <c r="K38" s="7" t="s">
        <v>46</v>
      </c>
      <c r="L38" s="7"/>
      <c r="M38" s="7" t="s">
        <v>198</v>
      </c>
      <c r="N38" s="7" t="s">
        <v>49</v>
      </c>
      <c r="O38" s="7"/>
      <c r="P38" s="7"/>
      <c r="Q38" s="7" t="s">
        <v>329</v>
      </c>
    </row>
    <row r="39" customFormat="false" ht="35.05" hidden="false" customHeight="false" outlineLevel="0" collapsed="false">
      <c r="A39" s="9" t="s">
        <v>330</v>
      </c>
      <c r="B39" s="9" t="s">
        <v>189</v>
      </c>
      <c r="C39" s="9" t="s">
        <v>245</v>
      </c>
      <c r="D39" s="10" t="s">
        <v>331</v>
      </c>
      <c r="E39" s="9"/>
      <c r="F39" s="9" t="s">
        <v>332</v>
      </c>
      <c r="G39" s="9" t="s">
        <v>333</v>
      </c>
      <c r="H39" s="9" t="s">
        <v>334</v>
      </c>
      <c r="I39" s="9" t="s">
        <v>335</v>
      </c>
      <c r="J39" s="9"/>
      <c r="K39" s="9" t="s">
        <v>68</v>
      </c>
      <c r="L39" s="9"/>
      <c r="M39" s="9" t="s">
        <v>198</v>
      </c>
      <c r="N39" s="9" t="s">
        <v>49</v>
      </c>
      <c r="O39" s="9"/>
      <c r="P39" s="9"/>
      <c r="Q39" s="9" t="s">
        <v>336</v>
      </c>
    </row>
    <row r="40" customFormat="false" ht="23.85" hidden="false" customHeight="false" outlineLevel="0" collapsed="false">
      <c r="A40" s="7" t="s">
        <v>337</v>
      </c>
      <c r="B40" s="7" t="s">
        <v>189</v>
      </c>
      <c r="C40" s="7" t="s">
        <v>245</v>
      </c>
      <c r="D40" s="8" t="s">
        <v>338</v>
      </c>
      <c r="E40" s="7"/>
      <c r="F40" s="7" t="s">
        <v>339</v>
      </c>
      <c r="G40" s="7" t="s">
        <v>340</v>
      </c>
      <c r="H40" s="7" t="s">
        <v>341</v>
      </c>
      <c r="I40" s="7" t="s">
        <v>342</v>
      </c>
      <c r="J40" s="7"/>
      <c r="K40" s="7" t="s">
        <v>99</v>
      </c>
      <c r="L40" s="7"/>
      <c r="M40" s="7" t="s">
        <v>198</v>
      </c>
      <c r="N40" s="7" t="s">
        <v>49</v>
      </c>
      <c r="O40" s="7"/>
      <c r="P40" s="7"/>
      <c r="Q40" s="7" t="s">
        <v>343</v>
      </c>
    </row>
    <row r="41" customFormat="false" ht="35.05" hidden="false" customHeight="false" outlineLevel="0" collapsed="false">
      <c r="A41" s="9" t="s">
        <v>344</v>
      </c>
      <c r="B41" s="9" t="s">
        <v>189</v>
      </c>
      <c r="C41" s="9" t="s">
        <v>245</v>
      </c>
      <c r="D41" s="10" t="s">
        <v>345</v>
      </c>
      <c r="E41" s="9"/>
      <c r="F41" s="9" t="s">
        <v>346</v>
      </c>
      <c r="G41" s="9" t="s">
        <v>347</v>
      </c>
      <c r="H41" s="9" t="s">
        <v>348</v>
      </c>
      <c r="I41" s="9" t="s">
        <v>349</v>
      </c>
      <c r="J41" s="9"/>
      <c r="K41" s="9" t="s">
        <v>99</v>
      </c>
      <c r="L41" s="9"/>
      <c r="M41" s="9" t="s">
        <v>198</v>
      </c>
      <c r="N41" s="9" t="s">
        <v>49</v>
      </c>
      <c r="O41" s="9"/>
      <c r="P41" s="9"/>
      <c r="Q41" s="9" t="s">
        <v>350</v>
      </c>
    </row>
    <row r="42" customFormat="false" ht="35.05" hidden="false" customHeight="false" outlineLevel="0" collapsed="false">
      <c r="A42" s="7" t="s">
        <v>351</v>
      </c>
      <c r="B42" s="7" t="s">
        <v>189</v>
      </c>
      <c r="C42" s="7" t="s">
        <v>352</v>
      </c>
      <c r="D42" s="8" t="s">
        <v>353</v>
      </c>
      <c r="E42" s="7" t="s">
        <v>354</v>
      </c>
      <c r="F42" s="7" t="s">
        <v>355</v>
      </c>
      <c r="G42" s="7" t="s">
        <v>356</v>
      </c>
      <c r="H42" s="7" t="s">
        <v>357</v>
      </c>
      <c r="I42" s="7" t="s">
        <v>358</v>
      </c>
      <c r="J42" s="7" t="s">
        <v>359</v>
      </c>
      <c r="K42" s="7" t="s">
        <v>68</v>
      </c>
      <c r="L42" s="7"/>
      <c r="M42" s="7" t="s">
        <v>198</v>
      </c>
      <c r="N42" s="7" t="s">
        <v>49</v>
      </c>
      <c r="O42" s="7"/>
      <c r="P42" s="7"/>
      <c r="Q42" s="7" t="s">
        <v>360</v>
      </c>
    </row>
    <row r="43" customFormat="false" ht="23.85" hidden="false" customHeight="false" outlineLevel="0" collapsed="false">
      <c r="A43" s="9" t="s">
        <v>361</v>
      </c>
      <c r="B43" s="9" t="s">
        <v>189</v>
      </c>
      <c r="C43" s="9" t="s">
        <v>352</v>
      </c>
      <c r="D43" s="10" t="s">
        <v>362</v>
      </c>
      <c r="E43" s="9" t="s">
        <v>363</v>
      </c>
      <c r="F43" s="9" t="s">
        <v>364</v>
      </c>
      <c r="G43" s="9" t="s">
        <v>365</v>
      </c>
      <c r="H43" s="9" t="s">
        <v>366</v>
      </c>
      <c r="I43" s="9" t="s">
        <v>367</v>
      </c>
      <c r="J43" s="9"/>
      <c r="K43" s="9" t="s">
        <v>68</v>
      </c>
      <c r="L43" s="9"/>
      <c r="M43" s="9" t="s">
        <v>198</v>
      </c>
      <c r="N43" s="9" t="s">
        <v>49</v>
      </c>
      <c r="O43" s="9"/>
      <c r="P43" s="9"/>
      <c r="Q43" s="9" t="s">
        <v>368</v>
      </c>
    </row>
    <row r="44" customFormat="false" ht="35.05" hidden="false" customHeight="false" outlineLevel="0" collapsed="false">
      <c r="A44" s="7" t="s">
        <v>369</v>
      </c>
      <c r="B44" s="7" t="s">
        <v>189</v>
      </c>
      <c r="C44" s="7" t="s">
        <v>370</v>
      </c>
      <c r="D44" s="8" t="s">
        <v>371</v>
      </c>
      <c r="E44" s="7" t="s">
        <v>372</v>
      </c>
      <c r="F44" s="7" t="s">
        <v>373</v>
      </c>
      <c r="G44" s="7" t="s">
        <v>374</v>
      </c>
      <c r="H44" s="7" t="s">
        <v>375</v>
      </c>
      <c r="I44" s="7" t="s">
        <v>376</v>
      </c>
      <c r="J44" s="7" t="s">
        <v>377</v>
      </c>
      <c r="K44" s="7" t="s">
        <v>68</v>
      </c>
      <c r="L44" s="7"/>
      <c r="M44" s="7" t="s">
        <v>198</v>
      </c>
      <c r="N44" s="7" t="s">
        <v>49</v>
      </c>
      <c r="O44" s="7"/>
      <c r="P44" s="7"/>
      <c r="Q44" s="7" t="s">
        <v>378</v>
      </c>
    </row>
    <row r="45" customFormat="false" ht="23.85" hidden="false" customHeight="false" outlineLevel="0" collapsed="false">
      <c r="A45" s="9" t="s">
        <v>379</v>
      </c>
      <c r="B45" s="9" t="s">
        <v>189</v>
      </c>
      <c r="C45" s="9" t="s">
        <v>370</v>
      </c>
      <c r="D45" s="10" t="s">
        <v>380</v>
      </c>
      <c r="E45" s="9"/>
      <c r="F45" s="9" t="s">
        <v>381</v>
      </c>
      <c r="G45" s="9" t="s">
        <v>382</v>
      </c>
      <c r="H45" s="9" t="s">
        <v>383</v>
      </c>
      <c r="I45" s="9" t="s">
        <v>371</v>
      </c>
      <c r="J45" s="9"/>
      <c r="K45" s="9" t="s">
        <v>68</v>
      </c>
      <c r="L45" s="9"/>
      <c r="M45" s="9" t="s">
        <v>198</v>
      </c>
      <c r="N45" s="9" t="s">
        <v>49</v>
      </c>
      <c r="O45" s="9"/>
      <c r="P45" s="9"/>
      <c r="Q45" s="9" t="s">
        <v>384</v>
      </c>
    </row>
    <row r="46" customFormat="false" ht="35.05" hidden="false" customHeight="false" outlineLevel="0" collapsed="false">
      <c r="A46" s="7" t="s">
        <v>385</v>
      </c>
      <c r="B46" s="7" t="s">
        <v>189</v>
      </c>
      <c r="C46" s="7" t="s">
        <v>386</v>
      </c>
      <c r="D46" s="8" t="s">
        <v>387</v>
      </c>
      <c r="E46" s="7" t="s">
        <v>388</v>
      </c>
      <c r="F46" s="7" t="s">
        <v>389</v>
      </c>
      <c r="G46" s="7" t="s">
        <v>390</v>
      </c>
      <c r="H46" s="7" t="s">
        <v>391</v>
      </c>
      <c r="I46" s="7" t="s">
        <v>392</v>
      </c>
      <c r="J46" s="7"/>
      <c r="K46" s="7" t="s">
        <v>46</v>
      </c>
      <c r="L46" s="7"/>
      <c r="M46" s="7" t="s">
        <v>198</v>
      </c>
      <c r="N46" s="7" t="s">
        <v>49</v>
      </c>
      <c r="O46" s="7"/>
      <c r="P46" s="7"/>
      <c r="Q46" s="7" t="s">
        <v>393</v>
      </c>
    </row>
    <row r="47" customFormat="false" ht="46.25" hidden="false" customHeight="false" outlineLevel="0" collapsed="false">
      <c r="A47" s="9" t="s">
        <v>394</v>
      </c>
      <c r="B47" s="9" t="s">
        <v>189</v>
      </c>
      <c r="C47" s="9" t="s">
        <v>386</v>
      </c>
      <c r="D47" s="10" t="s">
        <v>395</v>
      </c>
      <c r="E47" s="9" t="s">
        <v>396</v>
      </c>
      <c r="F47" s="9" t="s">
        <v>397</v>
      </c>
      <c r="G47" s="9" t="s">
        <v>398</v>
      </c>
      <c r="H47" s="9" t="s">
        <v>399</v>
      </c>
      <c r="I47" s="9" t="s">
        <v>400</v>
      </c>
      <c r="J47" s="9" t="s">
        <v>401</v>
      </c>
      <c r="K47" s="9" t="s">
        <v>68</v>
      </c>
      <c r="L47" s="9"/>
      <c r="M47" s="9" t="s">
        <v>198</v>
      </c>
      <c r="N47" s="9" t="s">
        <v>49</v>
      </c>
      <c r="O47" s="9"/>
      <c r="P47" s="9"/>
      <c r="Q47" s="9" t="s">
        <v>402</v>
      </c>
    </row>
    <row r="48" customFormat="false" ht="23.85" hidden="false" customHeight="false" outlineLevel="0" collapsed="false">
      <c r="A48" s="7" t="s">
        <v>403</v>
      </c>
      <c r="B48" s="7" t="s">
        <v>189</v>
      </c>
      <c r="C48" s="7" t="s">
        <v>386</v>
      </c>
      <c r="D48" s="8" t="s">
        <v>404</v>
      </c>
      <c r="E48" s="7"/>
      <c r="F48" s="7" t="s">
        <v>405</v>
      </c>
      <c r="G48" s="7" t="s">
        <v>406</v>
      </c>
      <c r="H48" s="7" t="s">
        <v>407</v>
      </c>
      <c r="I48" s="7" t="s">
        <v>408</v>
      </c>
      <c r="J48" s="7"/>
      <c r="K48" s="7" t="s">
        <v>68</v>
      </c>
      <c r="L48" s="7"/>
      <c r="M48" s="7" t="s">
        <v>198</v>
      </c>
      <c r="N48" s="7" t="s">
        <v>49</v>
      </c>
      <c r="O48" s="7"/>
      <c r="P48" s="7"/>
      <c r="Q48" s="7" t="s">
        <v>409</v>
      </c>
    </row>
    <row r="49" customFormat="false" ht="23.85" hidden="false" customHeight="false" outlineLevel="0" collapsed="false">
      <c r="A49" s="9" t="s">
        <v>410</v>
      </c>
      <c r="B49" s="9" t="s">
        <v>189</v>
      </c>
      <c r="C49" s="9" t="s">
        <v>386</v>
      </c>
      <c r="D49" s="10" t="s">
        <v>411</v>
      </c>
      <c r="E49" s="9"/>
      <c r="F49" s="9" t="s">
        <v>412</v>
      </c>
      <c r="G49" s="9" t="s">
        <v>413</v>
      </c>
      <c r="H49" s="9" t="s">
        <v>414</v>
      </c>
      <c r="I49" s="9" t="s">
        <v>387</v>
      </c>
      <c r="J49" s="9"/>
      <c r="K49" s="9" t="s">
        <v>46</v>
      </c>
      <c r="L49" s="9"/>
      <c r="M49" s="9" t="s">
        <v>198</v>
      </c>
      <c r="N49" s="9" t="s">
        <v>49</v>
      </c>
      <c r="O49" s="9"/>
      <c r="P49" s="9"/>
      <c r="Q49" s="9" t="s">
        <v>415</v>
      </c>
    </row>
    <row r="50" customFormat="false" ht="35.05" hidden="false" customHeight="false" outlineLevel="0" collapsed="false">
      <c r="A50" s="7" t="s">
        <v>416</v>
      </c>
      <c r="B50" s="7" t="s">
        <v>189</v>
      </c>
      <c r="C50" s="7" t="s">
        <v>386</v>
      </c>
      <c r="D50" s="8" t="s">
        <v>417</v>
      </c>
      <c r="E50" s="7" t="s">
        <v>418</v>
      </c>
      <c r="F50" s="7" t="s">
        <v>419</v>
      </c>
      <c r="G50" s="7" t="s">
        <v>420</v>
      </c>
      <c r="H50" s="7" t="s">
        <v>421</v>
      </c>
      <c r="I50" s="7" t="s">
        <v>422</v>
      </c>
      <c r="J50" s="7"/>
      <c r="K50" s="7" t="s">
        <v>68</v>
      </c>
      <c r="L50" s="7"/>
      <c r="M50" s="7" t="s">
        <v>198</v>
      </c>
      <c r="N50" s="7" t="s">
        <v>49</v>
      </c>
      <c r="O50" s="7"/>
      <c r="P50" s="7"/>
      <c r="Q50" s="7" t="s">
        <v>423</v>
      </c>
    </row>
    <row r="51" customFormat="false" ht="35.05" hidden="false" customHeight="false" outlineLevel="0" collapsed="false">
      <c r="A51" s="9" t="s">
        <v>424</v>
      </c>
      <c r="B51" s="9" t="s">
        <v>425</v>
      </c>
      <c r="C51" s="9" t="s">
        <v>426</v>
      </c>
      <c r="D51" s="10" t="s">
        <v>427</v>
      </c>
      <c r="E51" s="9" t="s">
        <v>428</v>
      </c>
      <c r="F51" s="9" t="s">
        <v>429</v>
      </c>
      <c r="G51" s="9" t="s">
        <v>430</v>
      </c>
      <c r="H51" s="9" t="s">
        <v>431</v>
      </c>
      <c r="I51" s="9" t="s">
        <v>432</v>
      </c>
      <c r="J51" s="9" t="s">
        <v>433</v>
      </c>
      <c r="K51" s="9" t="s">
        <v>46</v>
      </c>
      <c r="L51" s="9"/>
      <c r="M51" s="9" t="s">
        <v>434</v>
      </c>
      <c r="N51" s="9" t="s">
        <v>49</v>
      </c>
      <c r="O51" s="9"/>
      <c r="P51" s="9"/>
      <c r="Q51" s="9" t="s">
        <v>435</v>
      </c>
    </row>
    <row r="52" customFormat="false" ht="23.85" hidden="false" customHeight="false" outlineLevel="0" collapsed="false">
      <c r="A52" s="7" t="s">
        <v>436</v>
      </c>
      <c r="B52" s="7" t="s">
        <v>425</v>
      </c>
      <c r="C52" s="7" t="s">
        <v>426</v>
      </c>
      <c r="D52" s="8" t="s">
        <v>437</v>
      </c>
      <c r="E52" s="7"/>
      <c r="F52" s="7" t="s">
        <v>438</v>
      </c>
      <c r="G52" s="7" t="s">
        <v>439</v>
      </c>
      <c r="H52" s="7" t="s">
        <v>440</v>
      </c>
      <c r="I52" s="7" t="s">
        <v>427</v>
      </c>
      <c r="J52" s="7"/>
      <c r="K52" s="7" t="s">
        <v>46</v>
      </c>
      <c r="L52" s="7"/>
      <c r="M52" s="7" t="s">
        <v>434</v>
      </c>
      <c r="N52" s="7" t="s">
        <v>49</v>
      </c>
      <c r="O52" s="7"/>
      <c r="P52" s="7"/>
      <c r="Q52" s="7" t="s">
        <v>441</v>
      </c>
    </row>
    <row r="53" customFormat="false" ht="23.85" hidden="false" customHeight="false" outlineLevel="0" collapsed="false">
      <c r="A53" s="9" t="s">
        <v>442</v>
      </c>
      <c r="B53" s="9" t="s">
        <v>425</v>
      </c>
      <c r="C53" s="9" t="s">
        <v>426</v>
      </c>
      <c r="D53" s="10" t="s">
        <v>443</v>
      </c>
      <c r="E53" s="9"/>
      <c r="F53" s="9" t="s">
        <v>444</v>
      </c>
      <c r="G53" s="9" t="s">
        <v>445</v>
      </c>
      <c r="H53" s="9" t="s">
        <v>446</v>
      </c>
      <c r="I53" s="9" t="s">
        <v>447</v>
      </c>
      <c r="J53" s="9"/>
      <c r="K53" s="9" t="s">
        <v>68</v>
      </c>
      <c r="L53" s="9"/>
      <c r="M53" s="9" t="s">
        <v>434</v>
      </c>
      <c r="N53" s="9" t="s">
        <v>49</v>
      </c>
      <c r="O53" s="9"/>
      <c r="P53" s="9"/>
      <c r="Q53" s="9" t="s">
        <v>448</v>
      </c>
    </row>
    <row r="54" customFormat="false" ht="35.05" hidden="false" customHeight="false" outlineLevel="0" collapsed="false">
      <c r="A54" s="7" t="s">
        <v>449</v>
      </c>
      <c r="B54" s="7" t="s">
        <v>425</v>
      </c>
      <c r="C54" s="7" t="s">
        <v>450</v>
      </c>
      <c r="D54" s="8" t="s">
        <v>451</v>
      </c>
      <c r="E54" s="7" t="s">
        <v>452</v>
      </c>
      <c r="F54" s="7" t="s">
        <v>453</v>
      </c>
      <c r="G54" s="7" t="s">
        <v>454</v>
      </c>
      <c r="H54" s="7" t="s">
        <v>455</v>
      </c>
      <c r="I54" s="7" t="s">
        <v>456</v>
      </c>
      <c r="J54" s="7"/>
      <c r="K54" s="7" t="s">
        <v>46</v>
      </c>
      <c r="L54" s="7"/>
      <c r="M54" s="7" t="s">
        <v>434</v>
      </c>
      <c r="N54" s="7" t="s">
        <v>49</v>
      </c>
      <c r="O54" s="7"/>
      <c r="P54" s="7"/>
      <c r="Q54" s="7" t="s">
        <v>457</v>
      </c>
    </row>
    <row r="55" customFormat="false" ht="57.45" hidden="false" customHeight="false" outlineLevel="0" collapsed="false">
      <c r="A55" s="9" t="s">
        <v>458</v>
      </c>
      <c r="B55" s="9" t="s">
        <v>425</v>
      </c>
      <c r="C55" s="9" t="s">
        <v>450</v>
      </c>
      <c r="D55" s="10" t="s">
        <v>459</v>
      </c>
      <c r="E55" s="9" t="s">
        <v>460</v>
      </c>
      <c r="F55" s="9" t="s">
        <v>461</v>
      </c>
      <c r="G55" s="9" t="s">
        <v>462</v>
      </c>
      <c r="H55" s="9" t="s">
        <v>463</v>
      </c>
      <c r="I55" s="9" t="s">
        <v>464</v>
      </c>
      <c r="J55" s="9" t="s">
        <v>465</v>
      </c>
      <c r="K55" s="9" t="s">
        <v>46</v>
      </c>
      <c r="L55" s="9"/>
      <c r="M55" s="9" t="s">
        <v>434</v>
      </c>
      <c r="N55" s="9" t="s">
        <v>49</v>
      </c>
      <c r="O55" s="9"/>
      <c r="P55" s="9"/>
      <c r="Q55" s="9" t="s">
        <v>466</v>
      </c>
    </row>
    <row r="56" customFormat="false" ht="35.05" hidden="false" customHeight="false" outlineLevel="0" collapsed="false">
      <c r="A56" s="7" t="s">
        <v>467</v>
      </c>
      <c r="B56" s="7" t="s">
        <v>425</v>
      </c>
      <c r="C56" s="7" t="s">
        <v>450</v>
      </c>
      <c r="D56" s="8" t="s">
        <v>468</v>
      </c>
      <c r="E56" s="7" t="s">
        <v>469</v>
      </c>
      <c r="F56" s="7" t="s">
        <v>470</v>
      </c>
      <c r="G56" s="7" t="s">
        <v>471</v>
      </c>
      <c r="H56" s="7" t="s">
        <v>472</v>
      </c>
      <c r="I56" s="7" t="s">
        <v>473</v>
      </c>
      <c r="J56" s="7" t="s">
        <v>474</v>
      </c>
      <c r="K56" s="7" t="s">
        <v>46</v>
      </c>
      <c r="L56" s="7"/>
      <c r="M56" s="7" t="s">
        <v>434</v>
      </c>
      <c r="N56" s="7" t="s">
        <v>49</v>
      </c>
      <c r="O56" s="7"/>
      <c r="P56" s="7"/>
      <c r="Q56" s="7" t="s">
        <v>475</v>
      </c>
    </row>
    <row r="57" customFormat="false" ht="23.85" hidden="false" customHeight="false" outlineLevel="0" collapsed="false">
      <c r="A57" s="9" t="s">
        <v>476</v>
      </c>
      <c r="B57" s="9" t="s">
        <v>425</v>
      </c>
      <c r="C57" s="9" t="s">
        <v>450</v>
      </c>
      <c r="D57" s="10" t="s">
        <v>477</v>
      </c>
      <c r="E57" s="9" t="s">
        <v>478</v>
      </c>
      <c r="F57" s="9" t="s">
        <v>479</v>
      </c>
      <c r="G57" s="9" t="s">
        <v>480</v>
      </c>
      <c r="H57" s="9" t="s">
        <v>481</v>
      </c>
      <c r="I57" s="9" t="s">
        <v>482</v>
      </c>
      <c r="J57" s="9"/>
      <c r="K57" s="9" t="s">
        <v>46</v>
      </c>
      <c r="L57" s="9"/>
      <c r="M57" s="9" t="s">
        <v>434</v>
      </c>
      <c r="N57" s="9" t="s">
        <v>49</v>
      </c>
      <c r="O57" s="9"/>
      <c r="P57" s="9"/>
      <c r="Q57" s="9" t="s">
        <v>483</v>
      </c>
    </row>
    <row r="58" customFormat="false" ht="23.85" hidden="false" customHeight="false" outlineLevel="0" collapsed="false">
      <c r="A58" s="7" t="s">
        <v>484</v>
      </c>
      <c r="B58" s="7" t="s">
        <v>425</v>
      </c>
      <c r="C58" s="7" t="s">
        <v>450</v>
      </c>
      <c r="D58" s="8" t="s">
        <v>485</v>
      </c>
      <c r="E58" s="7" t="s">
        <v>486</v>
      </c>
      <c r="F58" s="7" t="s">
        <v>487</v>
      </c>
      <c r="G58" s="7" t="s">
        <v>488</v>
      </c>
      <c r="H58" s="7" t="s">
        <v>489</v>
      </c>
      <c r="I58" s="7" t="s">
        <v>490</v>
      </c>
      <c r="J58" s="7"/>
      <c r="K58" s="7" t="s">
        <v>99</v>
      </c>
      <c r="L58" s="7"/>
      <c r="M58" s="7" t="s">
        <v>434</v>
      </c>
      <c r="N58" s="7" t="s">
        <v>49</v>
      </c>
      <c r="O58" s="7"/>
      <c r="P58" s="7"/>
      <c r="Q58" s="7" t="s">
        <v>491</v>
      </c>
    </row>
    <row r="59" customFormat="false" ht="23.85" hidden="false" customHeight="false" outlineLevel="0" collapsed="false">
      <c r="A59" s="9" t="s">
        <v>492</v>
      </c>
      <c r="B59" s="9" t="s">
        <v>425</v>
      </c>
      <c r="C59" s="9" t="s">
        <v>450</v>
      </c>
      <c r="D59" s="10" t="s">
        <v>493</v>
      </c>
      <c r="E59" s="9"/>
      <c r="F59" s="9" t="s">
        <v>494</v>
      </c>
      <c r="G59" s="9" t="s">
        <v>495</v>
      </c>
      <c r="H59" s="9" t="s">
        <v>496</v>
      </c>
      <c r="I59" s="9" t="s">
        <v>497</v>
      </c>
      <c r="J59" s="9"/>
      <c r="K59" s="9" t="s">
        <v>46</v>
      </c>
      <c r="L59" s="9"/>
      <c r="M59" s="9" t="s">
        <v>434</v>
      </c>
      <c r="N59" s="9" t="s">
        <v>49</v>
      </c>
      <c r="O59" s="9"/>
      <c r="P59" s="9"/>
      <c r="Q59" s="9" t="s">
        <v>498</v>
      </c>
    </row>
    <row r="60" customFormat="false" ht="35.05" hidden="false" customHeight="false" outlineLevel="0" collapsed="false">
      <c r="A60" s="7" t="s">
        <v>499</v>
      </c>
      <c r="B60" s="7" t="s">
        <v>425</v>
      </c>
      <c r="C60" s="7" t="s">
        <v>450</v>
      </c>
      <c r="D60" s="8" t="s">
        <v>500</v>
      </c>
      <c r="E60" s="7"/>
      <c r="F60" s="7" t="s">
        <v>501</v>
      </c>
      <c r="G60" s="7" t="s">
        <v>502</v>
      </c>
      <c r="H60" s="7" t="s">
        <v>503</v>
      </c>
      <c r="I60" s="7" t="s">
        <v>504</v>
      </c>
      <c r="J60" s="7"/>
      <c r="K60" s="7" t="s">
        <v>46</v>
      </c>
      <c r="L60" s="7"/>
      <c r="M60" s="7" t="s">
        <v>434</v>
      </c>
      <c r="N60" s="7" t="s">
        <v>49</v>
      </c>
      <c r="O60" s="7"/>
      <c r="P60" s="7"/>
      <c r="Q60" s="7" t="s">
        <v>505</v>
      </c>
    </row>
    <row r="61" customFormat="false" ht="23.85" hidden="false" customHeight="false" outlineLevel="0" collapsed="false">
      <c r="A61" s="9" t="s">
        <v>506</v>
      </c>
      <c r="B61" s="9" t="s">
        <v>425</v>
      </c>
      <c r="C61" s="9" t="s">
        <v>450</v>
      </c>
      <c r="D61" s="10" t="s">
        <v>507</v>
      </c>
      <c r="E61" s="9" t="s">
        <v>508</v>
      </c>
      <c r="F61" s="9" t="s">
        <v>509</v>
      </c>
      <c r="G61" s="9" t="s">
        <v>510</v>
      </c>
      <c r="H61" s="9" t="s">
        <v>511</v>
      </c>
      <c r="I61" s="9" t="s">
        <v>512</v>
      </c>
      <c r="J61" s="9"/>
      <c r="K61" s="9" t="s">
        <v>46</v>
      </c>
      <c r="L61" s="9"/>
      <c r="M61" s="9" t="s">
        <v>434</v>
      </c>
      <c r="N61" s="9" t="s">
        <v>49</v>
      </c>
      <c r="O61" s="9"/>
      <c r="P61" s="9"/>
      <c r="Q61" s="9" t="s">
        <v>513</v>
      </c>
    </row>
    <row r="62" customFormat="false" ht="23.85" hidden="false" customHeight="false" outlineLevel="0" collapsed="false">
      <c r="A62" s="7" t="s">
        <v>514</v>
      </c>
      <c r="B62" s="7" t="s">
        <v>425</v>
      </c>
      <c r="C62" s="7" t="s">
        <v>450</v>
      </c>
      <c r="D62" s="8" t="s">
        <v>515</v>
      </c>
      <c r="E62" s="7" t="s">
        <v>256</v>
      </c>
      <c r="F62" s="7" t="s">
        <v>516</v>
      </c>
      <c r="G62" s="7" t="s">
        <v>517</v>
      </c>
      <c r="H62" s="7" t="s">
        <v>518</v>
      </c>
      <c r="I62" s="7" t="s">
        <v>507</v>
      </c>
      <c r="J62" s="7"/>
      <c r="K62" s="7" t="s">
        <v>68</v>
      </c>
      <c r="L62" s="7"/>
      <c r="M62" s="7" t="s">
        <v>434</v>
      </c>
      <c r="N62" s="7" t="s">
        <v>49</v>
      </c>
      <c r="O62" s="7"/>
      <c r="P62" s="7"/>
      <c r="Q62" s="7" t="s">
        <v>519</v>
      </c>
    </row>
    <row r="63" customFormat="false" ht="23.85" hidden="false" customHeight="false" outlineLevel="0" collapsed="false">
      <c r="A63" s="9" t="s">
        <v>520</v>
      </c>
      <c r="B63" s="9" t="s">
        <v>425</v>
      </c>
      <c r="C63" s="9" t="s">
        <v>450</v>
      </c>
      <c r="D63" s="10" t="s">
        <v>521</v>
      </c>
      <c r="E63" s="9"/>
      <c r="F63" s="9" t="s">
        <v>522</v>
      </c>
      <c r="G63" s="9" t="s">
        <v>523</v>
      </c>
      <c r="H63" s="9" t="s">
        <v>524</v>
      </c>
      <c r="I63" s="9" t="s">
        <v>525</v>
      </c>
      <c r="J63" s="9"/>
      <c r="K63" s="9" t="s">
        <v>46</v>
      </c>
      <c r="L63" s="9"/>
      <c r="M63" s="9" t="s">
        <v>434</v>
      </c>
      <c r="N63" s="9" t="s">
        <v>49</v>
      </c>
      <c r="O63" s="9"/>
      <c r="P63" s="9"/>
      <c r="Q63" s="9" t="s">
        <v>526</v>
      </c>
    </row>
    <row r="64" customFormat="false" ht="23.85" hidden="false" customHeight="false" outlineLevel="0" collapsed="false">
      <c r="A64" s="7" t="s">
        <v>527</v>
      </c>
      <c r="B64" s="7" t="s">
        <v>425</v>
      </c>
      <c r="C64" s="7" t="s">
        <v>450</v>
      </c>
      <c r="D64" s="8" t="s">
        <v>528</v>
      </c>
      <c r="E64" s="7"/>
      <c r="F64" s="7" t="s">
        <v>529</v>
      </c>
      <c r="G64" s="7" t="s">
        <v>530</v>
      </c>
      <c r="H64" s="7" t="s">
        <v>531</v>
      </c>
      <c r="I64" s="7" t="s">
        <v>532</v>
      </c>
      <c r="J64" s="7"/>
      <c r="K64" s="7" t="s">
        <v>46</v>
      </c>
      <c r="L64" s="7"/>
      <c r="M64" s="7" t="s">
        <v>434</v>
      </c>
      <c r="N64" s="7" t="s">
        <v>49</v>
      </c>
      <c r="O64" s="7"/>
      <c r="P64" s="7"/>
      <c r="Q64" s="7" t="s">
        <v>533</v>
      </c>
    </row>
    <row r="65" customFormat="false" ht="23.85" hidden="false" customHeight="false" outlineLevel="0" collapsed="false">
      <c r="A65" s="9" t="s">
        <v>534</v>
      </c>
      <c r="B65" s="9" t="s">
        <v>425</v>
      </c>
      <c r="C65" s="9" t="s">
        <v>450</v>
      </c>
      <c r="D65" s="10" t="s">
        <v>535</v>
      </c>
      <c r="E65" s="9"/>
      <c r="F65" s="9" t="s">
        <v>536</v>
      </c>
      <c r="G65" s="9" t="s">
        <v>537</v>
      </c>
      <c r="H65" s="9" t="s">
        <v>538</v>
      </c>
      <c r="I65" s="9" t="s">
        <v>539</v>
      </c>
      <c r="J65" s="9"/>
      <c r="K65" s="9" t="s">
        <v>68</v>
      </c>
      <c r="L65" s="9"/>
      <c r="M65" s="9" t="s">
        <v>434</v>
      </c>
      <c r="N65" s="9" t="s">
        <v>49</v>
      </c>
      <c r="O65" s="9"/>
      <c r="P65" s="9"/>
      <c r="Q65" s="9" t="s">
        <v>540</v>
      </c>
    </row>
    <row r="66" customFormat="false" ht="23.85" hidden="false" customHeight="false" outlineLevel="0" collapsed="false">
      <c r="A66" s="7" t="s">
        <v>541</v>
      </c>
      <c r="B66" s="7" t="s">
        <v>425</v>
      </c>
      <c r="C66" s="7" t="s">
        <v>450</v>
      </c>
      <c r="D66" s="8" t="s">
        <v>542</v>
      </c>
      <c r="E66" s="7"/>
      <c r="F66" s="7" t="s">
        <v>543</v>
      </c>
      <c r="G66" s="7" t="s">
        <v>544</v>
      </c>
      <c r="H66" s="7" t="s">
        <v>545</v>
      </c>
      <c r="I66" s="7" t="s">
        <v>546</v>
      </c>
      <c r="J66" s="7"/>
      <c r="K66" s="7" t="s">
        <v>46</v>
      </c>
      <c r="L66" s="7"/>
      <c r="M66" s="7" t="s">
        <v>434</v>
      </c>
      <c r="N66" s="7" t="s">
        <v>49</v>
      </c>
      <c r="O66" s="7"/>
      <c r="P66" s="7"/>
      <c r="Q66" s="7" t="s">
        <v>547</v>
      </c>
    </row>
    <row r="67" customFormat="false" ht="23.85" hidden="false" customHeight="false" outlineLevel="0" collapsed="false">
      <c r="A67" s="9" t="s">
        <v>548</v>
      </c>
      <c r="B67" s="9" t="s">
        <v>425</v>
      </c>
      <c r="C67" s="9" t="s">
        <v>450</v>
      </c>
      <c r="D67" s="10" t="s">
        <v>549</v>
      </c>
      <c r="E67" s="9"/>
      <c r="F67" s="9" t="s">
        <v>550</v>
      </c>
      <c r="G67" s="9" t="s">
        <v>551</v>
      </c>
      <c r="H67" s="9" t="s">
        <v>552</v>
      </c>
      <c r="I67" s="9" t="s">
        <v>553</v>
      </c>
      <c r="J67" s="9"/>
      <c r="K67" s="9" t="s">
        <v>46</v>
      </c>
      <c r="L67" s="9"/>
      <c r="M67" s="9" t="s">
        <v>434</v>
      </c>
      <c r="N67" s="9" t="s">
        <v>49</v>
      </c>
      <c r="O67" s="9"/>
      <c r="P67" s="9"/>
      <c r="Q67" s="9" t="s">
        <v>554</v>
      </c>
    </row>
    <row r="68" customFormat="false" ht="23.85" hidden="false" customHeight="false" outlineLevel="0" collapsed="false">
      <c r="A68" s="7" t="s">
        <v>555</v>
      </c>
      <c r="B68" s="7" t="s">
        <v>425</v>
      </c>
      <c r="C68" s="7" t="s">
        <v>450</v>
      </c>
      <c r="D68" s="8" t="s">
        <v>556</v>
      </c>
      <c r="E68" s="7" t="s">
        <v>557</v>
      </c>
      <c r="F68" s="7" t="s">
        <v>558</v>
      </c>
      <c r="G68" s="7" t="s">
        <v>559</v>
      </c>
      <c r="H68" s="7" t="s">
        <v>560</v>
      </c>
      <c r="I68" s="7" t="s">
        <v>561</v>
      </c>
      <c r="J68" s="7"/>
      <c r="K68" s="7" t="s">
        <v>46</v>
      </c>
      <c r="L68" s="7"/>
      <c r="M68" s="7" t="s">
        <v>434</v>
      </c>
      <c r="N68" s="7" t="s">
        <v>49</v>
      </c>
      <c r="O68" s="7"/>
      <c r="P68" s="7"/>
      <c r="Q68" s="7" t="s">
        <v>562</v>
      </c>
    </row>
    <row r="69" customFormat="false" ht="23.85" hidden="false" customHeight="false" outlineLevel="0" collapsed="false">
      <c r="A69" s="9" t="s">
        <v>563</v>
      </c>
      <c r="B69" s="9" t="s">
        <v>425</v>
      </c>
      <c r="C69" s="9" t="s">
        <v>450</v>
      </c>
      <c r="D69" s="10" t="s">
        <v>564</v>
      </c>
      <c r="E69" s="9"/>
      <c r="F69" s="9" t="s">
        <v>565</v>
      </c>
      <c r="G69" s="9" t="s">
        <v>566</v>
      </c>
      <c r="H69" s="9" t="s">
        <v>567</v>
      </c>
      <c r="I69" s="9" t="s">
        <v>568</v>
      </c>
      <c r="J69" s="9"/>
      <c r="K69" s="9" t="s">
        <v>46</v>
      </c>
      <c r="L69" s="9"/>
      <c r="M69" s="9" t="s">
        <v>434</v>
      </c>
      <c r="N69" s="9" t="s">
        <v>49</v>
      </c>
      <c r="O69" s="9"/>
      <c r="P69" s="9"/>
      <c r="Q69" s="9" t="s">
        <v>569</v>
      </c>
    </row>
    <row r="70" customFormat="false" ht="23.85" hidden="false" customHeight="false" outlineLevel="0" collapsed="false">
      <c r="A70" s="7" t="s">
        <v>570</v>
      </c>
      <c r="B70" s="7" t="s">
        <v>425</v>
      </c>
      <c r="C70" s="7" t="s">
        <v>450</v>
      </c>
      <c r="D70" s="8" t="s">
        <v>571</v>
      </c>
      <c r="E70" s="7"/>
      <c r="F70" s="7" t="s">
        <v>572</v>
      </c>
      <c r="G70" s="7" t="s">
        <v>573</v>
      </c>
      <c r="H70" s="7" t="s">
        <v>574</v>
      </c>
      <c r="I70" s="7" t="s">
        <v>575</v>
      </c>
      <c r="J70" s="7"/>
      <c r="K70" s="7" t="s">
        <v>68</v>
      </c>
      <c r="L70" s="7"/>
      <c r="M70" s="7" t="s">
        <v>434</v>
      </c>
      <c r="N70" s="7" t="s">
        <v>49</v>
      </c>
      <c r="O70" s="7"/>
      <c r="P70" s="7"/>
      <c r="Q70" s="7" t="s">
        <v>576</v>
      </c>
    </row>
    <row r="71" customFormat="false" ht="23.85" hidden="false" customHeight="false" outlineLevel="0" collapsed="false">
      <c r="A71" s="9" t="s">
        <v>577</v>
      </c>
      <c r="B71" s="9" t="s">
        <v>425</v>
      </c>
      <c r="C71" s="9" t="s">
        <v>450</v>
      </c>
      <c r="D71" s="10" t="s">
        <v>578</v>
      </c>
      <c r="E71" s="9"/>
      <c r="F71" s="9" t="s">
        <v>579</v>
      </c>
      <c r="G71" s="9" t="s">
        <v>580</v>
      </c>
      <c r="H71" s="9" t="s">
        <v>581</v>
      </c>
      <c r="I71" s="9" t="s">
        <v>582</v>
      </c>
      <c r="J71" s="9"/>
      <c r="K71" s="9" t="s">
        <v>68</v>
      </c>
      <c r="L71" s="9"/>
      <c r="M71" s="9" t="s">
        <v>434</v>
      </c>
      <c r="N71" s="9" t="s">
        <v>49</v>
      </c>
      <c r="O71" s="9"/>
      <c r="P71" s="9"/>
      <c r="Q71" s="9" t="s">
        <v>583</v>
      </c>
    </row>
    <row r="72" customFormat="false" ht="23.85" hidden="false" customHeight="false" outlineLevel="0" collapsed="false">
      <c r="A72" s="7" t="s">
        <v>584</v>
      </c>
      <c r="B72" s="7" t="s">
        <v>425</v>
      </c>
      <c r="C72" s="7" t="s">
        <v>585</v>
      </c>
      <c r="D72" s="8" t="s">
        <v>586</v>
      </c>
      <c r="E72" s="7"/>
      <c r="F72" s="7" t="s">
        <v>587</v>
      </c>
      <c r="G72" s="7" t="s">
        <v>588</v>
      </c>
      <c r="H72" s="7" t="s">
        <v>589</v>
      </c>
      <c r="I72" s="7" t="s">
        <v>590</v>
      </c>
      <c r="J72" s="7"/>
      <c r="K72" s="7" t="s">
        <v>46</v>
      </c>
      <c r="L72" s="7"/>
      <c r="M72" s="7" t="s">
        <v>434</v>
      </c>
      <c r="N72" s="7" t="s">
        <v>49</v>
      </c>
      <c r="O72" s="7"/>
      <c r="P72" s="7"/>
      <c r="Q72" s="7" t="s">
        <v>591</v>
      </c>
    </row>
    <row r="73" customFormat="false" ht="23.85" hidden="false" customHeight="false" outlineLevel="0" collapsed="false">
      <c r="A73" s="9" t="s">
        <v>592</v>
      </c>
      <c r="B73" s="9" t="s">
        <v>425</v>
      </c>
      <c r="C73" s="9" t="s">
        <v>585</v>
      </c>
      <c r="D73" s="10" t="s">
        <v>593</v>
      </c>
      <c r="E73" s="9"/>
      <c r="F73" s="9" t="s">
        <v>594</v>
      </c>
      <c r="G73" s="9" t="s">
        <v>595</v>
      </c>
      <c r="H73" s="9" t="s">
        <v>596</v>
      </c>
      <c r="I73" s="9" t="s">
        <v>597</v>
      </c>
      <c r="J73" s="9"/>
      <c r="K73" s="9" t="s">
        <v>68</v>
      </c>
      <c r="L73" s="9"/>
      <c r="M73" s="9" t="s">
        <v>434</v>
      </c>
      <c r="N73" s="9" t="s">
        <v>49</v>
      </c>
      <c r="O73" s="9"/>
      <c r="P73" s="9"/>
      <c r="Q73" s="9" t="s">
        <v>598</v>
      </c>
    </row>
    <row r="74" customFormat="false" ht="23.85" hidden="false" customHeight="false" outlineLevel="0" collapsed="false">
      <c r="A74" s="7" t="s">
        <v>599</v>
      </c>
      <c r="B74" s="7" t="s">
        <v>425</v>
      </c>
      <c r="C74" s="7" t="s">
        <v>585</v>
      </c>
      <c r="D74" s="8" t="s">
        <v>600</v>
      </c>
      <c r="E74" s="7"/>
      <c r="F74" s="7" t="s">
        <v>601</v>
      </c>
      <c r="G74" s="7" t="s">
        <v>602</v>
      </c>
      <c r="H74" s="7" t="s">
        <v>603</v>
      </c>
      <c r="I74" s="7" t="s">
        <v>604</v>
      </c>
      <c r="J74" s="7"/>
      <c r="K74" s="7" t="s">
        <v>68</v>
      </c>
      <c r="L74" s="7"/>
      <c r="M74" s="7" t="s">
        <v>434</v>
      </c>
      <c r="N74" s="7" t="s">
        <v>49</v>
      </c>
      <c r="O74" s="7"/>
      <c r="P74" s="7"/>
      <c r="Q74" s="7" t="s">
        <v>605</v>
      </c>
    </row>
    <row r="75" customFormat="false" ht="23.85" hidden="false" customHeight="false" outlineLevel="0" collapsed="false">
      <c r="A75" s="9" t="s">
        <v>606</v>
      </c>
      <c r="B75" s="9" t="s">
        <v>425</v>
      </c>
      <c r="C75" s="9" t="s">
        <v>585</v>
      </c>
      <c r="D75" s="10" t="s">
        <v>607</v>
      </c>
      <c r="E75" s="9"/>
      <c r="F75" s="9" t="s">
        <v>608</v>
      </c>
      <c r="G75" s="9" t="s">
        <v>609</v>
      </c>
      <c r="H75" s="9" t="s">
        <v>610</v>
      </c>
      <c r="I75" s="9" t="s">
        <v>611</v>
      </c>
      <c r="J75" s="9"/>
      <c r="K75" s="9" t="s">
        <v>46</v>
      </c>
      <c r="L75" s="9"/>
      <c r="M75" s="9" t="s">
        <v>434</v>
      </c>
      <c r="N75" s="9" t="s">
        <v>49</v>
      </c>
      <c r="O75" s="9"/>
      <c r="P75" s="9"/>
      <c r="Q75" s="9" t="s">
        <v>612</v>
      </c>
    </row>
    <row r="76" customFormat="false" ht="35.05" hidden="false" customHeight="false" outlineLevel="0" collapsed="false">
      <c r="A76" s="7" t="s">
        <v>613</v>
      </c>
      <c r="B76" s="7" t="s">
        <v>425</v>
      </c>
      <c r="C76" s="7" t="s">
        <v>585</v>
      </c>
      <c r="D76" s="8" t="s">
        <v>614</v>
      </c>
      <c r="E76" s="7"/>
      <c r="F76" s="7" t="s">
        <v>615</v>
      </c>
      <c r="G76" s="7" t="s">
        <v>616</v>
      </c>
      <c r="H76" s="7" t="s">
        <v>617</v>
      </c>
      <c r="I76" s="7" t="s">
        <v>618</v>
      </c>
      <c r="J76" s="7"/>
      <c r="K76" s="7" t="s">
        <v>46</v>
      </c>
      <c r="L76" s="7"/>
      <c r="M76" s="7" t="s">
        <v>434</v>
      </c>
      <c r="N76" s="7" t="s">
        <v>49</v>
      </c>
      <c r="O76" s="7"/>
      <c r="P76" s="7"/>
      <c r="Q76" s="7" t="s">
        <v>619</v>
      </c>
    </row>
    <row r="77" customFormat="false" ht="23.85" hidden="false" customHeight="false" outlineLevel="0" collapsed="false">
      <c r="A77" s="9" t="s">
        <v>620</v>
      </c>
      <c r="B77" s="9" t="s">
        <v>425</v>
      </c>
      <c r="C77" s="9" t="s">
        <v>585</v>
      </c>
      <c r="D77" s="10" t="s">
        <v>621</v>
      </c>
      <c r="E77" s="9"/>
      <c r="F77" s="9" t="s">
        <v>622</v>
      </c>
      <c r="G77" s="9" t="s">
        <v>623</v>
      </c>
      <c r="H77" s="9" t="s">
        <v>624</v>
      </c>
      <c r="I77" s="9" t="s">
        <v>625</v>
      </c>
      <c r="J77" s="9"/>
      <c r="K77" s="9" t="s">
        <v>68</v>
      </c>
      <c r="L77" s="9" t="s">
        <v>626</v>
      </c>
      <c r="M77" s="9" t="s">
        <v>434</v>
      </c>
      <c r="N77" s="9" t="s">
        <v>49</v>
      </c>
      <c r="O77" s="9"/>
      <c r="P77" s="9"/>
      <c r="Q77" s="9" t="s">
        <v>627</v>
      </c>
    </row>
    <row r="78" customFormat="false" ht="35.05" hidden="false" customHeight="false" outlineLevel="0" collapsed="false">
      <c r="A78" s="7" t="s">
        <v>628</v>
      </c>
      <c r="B78" s="7" t="s">
        <v>629</v>
      </c>
      <c r="C78" s="7" t="s">
        <v>630</v>
      </c>
      <c r="D78" s="8" t="s">
        <v>631</v>
      </c>
      <c r="E78" s="7" t="s">
        <v>632</v>
      </c>
      <c r="F78" s="7" t="s">
        <v>633</v>
      </c>
      <c r="G78" s="7" t="s">
        <v>634</v>
      </c>
      <c r="H78" s="7" t="s">
        <v>635</v>
      </c>
      <c r="I78" s="7" t="s">
        <v>636</v>
      </c>
      <c r="J78" s="7" t="s">
        <v>637</v>
      </c>
      <c r="K78" s="7" t="s">
        <v>46</v>
      </c>
      <c r="L78" s="7"/>
      <c r="M78" s="7" t="s">
        <v>638</v>
      </c>
      <c r="N78" s="7" t="s">
        <v>49</v>
      </c>
      <c r="O78" s="7"/>
      <c r="P78" s="7"/>
      <c r="Q78" s="7" t="s">
        <v>639</v>
      </c>
    </row>
    <row r="79" customFormat="false" ht="35.05" hidden="false" customHeight="false" outlineLevel="0" collapsed="false">
      <c r="A79" s="9" t="s">
        <v>640</v>
      </c>
      <c r="B79" s="9" t="s">
        <v>629</v>
      </c>
      <c r="C79" s="9" t="s">
        <v>630</v>
      </c>
      <c r="D79" s="10" t="s">
        <v>641</v>
      </c>
      <c r="E79" s="9"/>
      <c r="F79" s="9" t="s">
        <v>642</v>
      </c>
      <c r="G79" s="9" t="s">
        <v>643</v>
      </c>
      <c r="H79" s="9" t="s">
        <v>644</v>
      </c>
      <c r="I79" s="9" t="s">
        <v>645</v>
      </c>
      <c r="J79" s="9"/>
      <c r="K79" s="9" t="s">
        <v>68</v>
      </c>
      <c r="L79" s="9"/>
      <c r="M79" s="9" t="s">
        <v>638</v>
      </c>
      <c r="N79" s="9" t="s">
        <v>49</v>
      </c>
      <c r="O79" s="9"/>
      <c r="P79" s="9"/>
      <c r="Q79" s="9" t="s">
        <v>646</v>
      </c>
    </row>
    <row r="80" customFormat="false" ht="23.85" hidden="false" customHeight="false" outlineLevel="0" collapsed="false">
      <c r="A80" s="7" t="s">
        <v>647</v>
      </c>
      <c r="B80" s="7" t="s">
        <v>629</v>
      </c>
      <c r="C80" s="7" t="s">
        <v>630</v>
      </c>
      <c r="D80" s="8" t="s">
        <v>645</v>
      </c>
      <c r="E80" s="7"/>
      <c r="F80" s="7" t="s">
        <v>648</v>
      </c>
      <c r="G80" s="7" t="s">
        <v>649</v>
      </c>
      <c r="H80" s="7" t="s">
        <v>650</v>
      </c>
      <c r="I80" s="7" t="s">
        <v>641</v>
      </c>
      <c r="J80" s="7"/>
      <c r="K80" s="7" t="s">
        <v>68</v>
      </c>
      <c r="L80" s="7"/>
      <c r="M80" s="7" t="s">
        <v>638</v>
      </c>
      <c r="N80" s="7" t="s">
        <v>49</v>
      </c>
      <c r="O80" s="7"/>
      <c r="P80" s="7"/>
      <c r="Q80" s="7" t="s">
        <v>651</v>
      </c>
    </row>
    <row r="81" customFormat="false" ht="23.85" hidden="false" customHeight="false" outlineLevel="0" collapsed="false">
      <c r="A81" s="9" t="s">
        <v>652</v>
      </c>
      <c r="B81" s="9" t="s">
        <v>629</v>
      </c>
      <c r="C81" s="9" t="s">
        <v>630</v>
      </c>
      <c r="D81" s="10" t="s">
        <v>653</v>
      </c>
      <c r="E81" s="9"/>
      <c r="F81" s="9" t="s">
        <v>654</v>
      </c>
      <c r="G81" s="9" t="s">
        <v>655</v>
      </c>
      <c r="H81" s="9" t="s">
        <v>656</v>
      </c>
      <c r="I81" s="9" t="s">
        <v>657</v>
      </c>
      <c r="J81" s="9"/>
      <c r="K81" s="9" t="s">
        <v>99</v>
      </c>
      <c r="L81" s="9"/>
      <c r="M81" s="9" t="s">
        <v>638</v>
      </c>
      <c r="N81" s="9" t="s">
        <v>49</v>
      </c>
      <c r="O81" s="9"/>
      <c r="P81" s="9"/>
      <c r="Q81" s="9" t="s">
        <v>658</v>
      </c>
    </row>
    <row r="82" customFormat="false" ht="23.85" hidden="false" customHeight="false" outlineLevel="0" collapsed="false">
      <c r="A82" s="7" t="s">
        <v>659</v>
      </c>
      <c r="B82" s="7" t="s">
        <v>629</v>
      </c>
      <c r="C82" s="7" t="s">
        <v>630</v>
      </c>
      <c r="D82" s="8" t="s">
        <v>660</v>
      </c>
      <c r="E82" s="7"/>
      <c r="F82" s="7" t="s">
        <v>661</v>
      </c>
      <c r="G82" s="7" t="s">
        <v>662</v>
      </c>
      <c r="H82" s="7" t="s">
        <v>663</v>
      </c>
      <c r="I82" s="7" t="s">
        <v>664</v>
      </c>
      <c r="J82" s="7"/>
      <c r="K82" s="7" t="s">
        <v>46</v>
      </c>
      <c r="L82" s="7"/>
      <c r="M82" s="7" t="s">
        <v>638</v>
      </c>
      <c r="N82" s="7" t="s">
        <v>49</v>
      </c>
      <c r="O82" s="7"/>
      <c r="P82" s="7"/>
      <c r="Q82" s="7" t="s">
        <v>665</v>
      </c>
    </row>
    <row r="83" customFormat="false" ht="23.85" hidden="false" customHeight="false" outlineLevel="0" collapsed="false">
      <c r="A83" s="9" t="s">
        <v>666</v>
      </c>
      <c r="B83" s="9" t="s">
        <v>629</v>
      </c>
      <c r="C83" s="9" t="s">
        <v>667</v>
      </c>
      <c r="D83" s="10" t="s">
        <v>668</v>
      </c>
      <c r="E83" s="9" t="s">
        <v>557</v>
      </c>
      <c r="F83" s="9" t="s">
        <v>669</v>
      </c>
      <c r="G83" s="9" t="s">
        <v>670</v>
      </c>
      <c r="H83" s="9" t="s">
        <v>671</v>
      </c>
      <c r="I83" s="9" t="s">
        <v>672</v>
      </c>
      <c r="J83" s="9"/>
      <c r="K83" s="9" t="s">
        <v>46</v>
      </c>
      <c r="L83" s="9"/>
      <c r="M83" s="9" t="s">
        <v>638</v>
      </c>
      <c r="N83" s="9" t="s">
        <v>49</v>
      </c>
      <c r="O83" s="9"/>
      <c r="P83" s="9"/>
      <c r="Q83" s="9" t="s">
        <v>673</v>
      </c>
    </row>
    <row r="84" customFormat="false" ht="35.05" hidden="false" customHeight="false" outlineLevel="0" collapsed="false">
      <c r="A84" s="7" t="s">
        <v>674</v>
      </c>
      <c r="B84" s="7" t="s">
        <v>629</v>
      </c>
      <c r="C84" s="7" t="s">
        <v>667</v>
      </c>
      <c r="D84" s="8" t="s">
        <v>675</v>
      </c>
      <c r="E84" s="7"/>
      <c r="F84" s="7" t="s">
        <v>676</v>
      </c>
      <c r="G84" s="7" t="s">
        <v>677</v>
      </c>
      <c r="H84" s="7" t="s">
        <v>678</v>
      </c>
      <c r="I84" s="7" t="s">
        <v>679</v>
      </c>
      <c r="J84" s="7"/>
      <c r="K84" s="7" t="s">
        <v>46</v>
      </c>
      <c r="L84" s="7"/>
      <c r="M84" s="7" t="s">
        <v>638</v>
      </c>
      <c r="N84" s="7" t="s">
        <v>49</v>
      </c>
      <c r="O84" s="7"/>
      <c r="P84" s="7"/>
      <c r="Q84" s="7" t="s">
        <v>680</v>
      </c>
    </row>
    <row r="85" customFormat="false" ht="35.05" hidden="false" customHeight="false" outlineLevel="0" collapsed="false">
      <c r="A85" s="9" t="s">
        <v>681</v>
      </c>
      <c r="B85" s="9" t="s">
        <v>629</v>
      </c>
      <c r="C85" s="9" t="s">
        <v>667</v>
      </c>
      <c r="D85" s="10" t="s">
        <v>682</v>
      </c>
      <c r="E85" s="9"/>
      <c r="F85" s="9" t="s">
        <v>683</v>
      </c>
      <c r="G85" s="9" t="s">
        <v>684</v>
      </c>
      <c r="H85" s="9" t="s">
        <v>685</v>
      </c>
      <c r="I85" s="9" t="s">
        <v>686</v>
      </c>
      <c r="J85" s="9"/>
      <c r="K85" s="9" t="s">
        <v>68</v>
      </c>
      <c r="L85" s="9"/>
      <c r="M85" s="9" t="s">
        <v>638</v>
      </c>
      <c r="N85" s="9" t="s">
        <v>49</v>
      </c>
      <c r="O85" s="9"/>
      <c r="P85" s="9"/>
      <c r="Q85" s="9" t="s">
        <v>687</v>
      </c>
    </row>
    <row r="86" customFormat="false" ht="35.05" hidden="false" customHeight="false" outlineLevel="0" collapsed="false">
      <c r="A86" s="7" t="s">
        <v>688</v>
      </c>
      <c r="B86" s="7" t="s">
        <v>629</v>
      </c>
      <c r="C86" s="7" t="s">
        <v>667</v>
      </c>
      <c r="D86" s="8" t="s">
        <v>689</v>
      </c>
      <c r="E86" s="7"/>
      <c r="F86" s="7" t="s">
        <v>690</v>
      </c>
      <c r="G86" s="7" t="s">
        <v>691</v>
      </c>
      <c r="H86" s="7" t="s">
        <v>692</v>
      </c>
      <c r="I86" s="7" t="s">
        <v>693</v>
      </c>
      <c r="J86" s="7" t="s">
        <v>694</v>
      </c>
      <c r="K86" s="7" t="s">
        <v>68</v>
      </c>
      <c r="L86" s="7"/>
      <c r="M86" s="7" t="s">
        <v>638</v>
      </c>
      <c r="N86" s="7" t="s">
        <v>49</v>
      </c>
      <c r="O86" s="7"/>
      <c r="P86" s="7"/>
      <c r="Q86" s="7" t="s">
        <v>695</v>
      </c>
    </row>
    <row r="87" customFormat="false" ht="23.85" hidden="false" customHeight="false" outlineLevel="0" collapsed="false">
      <c r="A87" s="9" t="s">
        <v>696</v>
      </c>
      <c r="B87" s="9" t="s">
        <v>629</v>
      </c>
      <c r="C87" s="9" t="s">
        <v>667</v>
      </c>
      <c r="D87" s="10" t="s">
        <v>697</v>
      </c>
      <c r="E87" s="9"/>
      <c r="F87" s="9" t="s">
        <v>698</v>
      </c>
      <c r="G87" s="9" t="s">
        <v>699</v>
      </c>
      <c r="H87" s="9" t="s">
        <v>700</v>
      </c>
      <c r="I87" s="9" t="s">
        <v>701</v>
      </c>
      <c r="J87" s="9"/>
      <c r="K87" s="9" t="s">
        <v>46</v>
      </c>
      <c r="L87" s="9"/>
      <c r="M87" s="9" t="s">
        <v>638</v>
      </c>
      <c r="N87" s="9" t="s">
        <v>49</v>
      </c>
      <c r="O87" s="9"/>
      <c r="P87" s="9"/>
      <c r="Q87" s="9" t="s">
        <v>702</v>
      </c>
    </row>
    <row r="88" customFormat="false" ht="35.05" hidden="false" customHeight="false" outlineLevel="0" collapsed="false">
      <c r="A88" s="7" t="s">
        <v>703</v>
      </c>
      <c r="B88" s="7" t="s">
        <v>629</v>
      </c>
      <c r="C88" s="7" t="s">
        <v>667</v>
      </c>
      <c r="D88" s="8" t="s">
        <v>704</v>
      </c>
      <c r="E88" s="7"/>
      <c r="F88" s="7" t="s">
        <v>705</v>
      </c>
      <c r="G88" s="7" t="s">
        <v>706</v>
      </c>
      <c r="H88" s="7" t="s">
        <v>707</v>
      </c>
      <c r="I88" s="7" t="s">
        <v>708</v>
      </c>
      <c r="J88" s="7"/>
      <c r="K88" s="7" t="s">
        <v>68</v>
      </c>
      <c r="L88" s="7"/>
      <c r="M88" s="7" t="s">
        <v>638</v>
      </c>
      <c r="N88" s="7" t="s">
        <v>49</v>
      </c>
      <c r="O88" s="7"/>
      <c r="P88" s="7"/>
      <c r="Q88" s="7" t="s">
        <v>709</v>
      </c>
    </row>
    <row r="89" customFormat="false" ht="23.85" hidden="false" customHeight="false" outlineLevel="0" collapsed="false">
      <c r="A89" s="9" t="s">
        <v>710</v>
      </c>
      <c r="B89" s="9" t="s">
        <v>629</v>
      </c>
      <c r="C89" s="9" t="s">
        <v>667</v>
      </c>
      <c r="D89" s="10" t="s">
        <v>711</v>
      </c>
      <c r="E89" s="9"/>
      <c r="F89" s="9" t="s">
        <v>712</v>
      </c>
      <c r="G89" s="9" t="s">
        <v>713</v>
      </c>
      <c r="H89" s="9" t="s">
        <v>714</v>
      </c>
      <c r="I89" s="9" t="s">
        <v>715</v>
      </c>
      <c r="J89" s="9"/>
      <c r="K89" s="9" t="s">
        <v>99</v>
      </c>
      <c r="L89" s="9"/>
      <c r="M89" s="9" t="s">
        <v>638</v>
      </c>
      <c r="N89" s="9" t="s">
        <v>49</v>
      </c>
      <c r="O89" s="9"/>
      <c r="P89" s="9"/>
      <c r="Q89" s="9" t="s">
        <v>716</v>
      </c>
    </row>
    <row r="90" customFormat="false" ht="23.85" hidden="false" customHeight="false" outlineLevel="0" collapsed="false">
      <c r="A90" s="7" t="s">
        <v>717</v>
      </c>
      <c r="B90" s="7" t="s">
        <v>629</v>
      </c>
      <c r="C90" s="7" t="s">
        <v>667</v>
      </c>
      <c r="D90" s="8" t="s">
        <v>718</v>
      </c>
      <c r="E90" s="7"/>
      <c r="F90" s="7" t="s">
        <v>719</v>
      </c>
      <c r="G90" s="7" t="s">
        <v>720</v>
      </c>
      <c r="H90" s="7" t="s">
        <v>721</v>
      </c>
      <c r="I90" s="7" t="s">
        <v>722</v>
      </c>
      <c r="J90" s="7"/>
      <c r="K90" s="7" t="s">
        <v>99</v>
      </c>
      <c r="L90" s="7"/>
      <c r="M90" s="7" t="s">
        <v>638</v>
      </c>
      <c r="N90" s="7" t="s">
        <v>49</v>
      </c>
      <c r="O90" s="7"/>
      <c r="P90" s="7"/>
      <c r="Q90" s="7" t="s">
        <v>723</v>
      </c>
    </row>
    <row r="91" customFormat="false" ht="23.85" hidden="false" customHeight="false" outlineLevel="0" collapsed="false">
      <c r="A91" s="9" t="s">
        <v>724</v>
      </c>
      <c r="B91" s="9" t="s">
        <v>629</v>
      </c>
      <c r="C91" s="9" t="s">
        <v>667</v>
      </c>
      <c r="D91" s="10" t="s">
        <v>725</v>
      </c>
      <c r="E91" s="9"/>
      <c r="F91" s="9" t="s">
        <v>726</v>
      </c>
      <c r="G91" s="9" t="s">
        <v>727</v>
      </c>
      <c r="H91" s="9" t="s">
        <v>728</v>
      </c>
      <c r="I91" s="9" t="s">
        <v>729</v>
      </c>
      <c r="J91" s="9"/>
      <c r="K91" s="9" t="s">
        <v>99</v>
      </c>
      <c r="L91" s="9"/>
      <c r="M91" s="9" t="s">
        <v>638</v>
      </c>
      <c r="N91" s="9" t="s">
        <v>49</v>
      </c>
      <c r="O91" s="9"/>
      <c r="P91" s="9"/>
      <c r="Q91" s="9" t="s">
        <v>730</v>
      </c>
    </row>
    <row r="92" customFormat="false" ht="23.85" hidden="false" customHeight="false" outlineLevel="0" collapsed="false">
      <c r="A92" s="7" t="s">
        <v>731</v>
      </c>
      <c r="B92" s="7" t="s">
        <v>629</v>
      </c>
      <c r="C92" s="7" t="s">
        <v>667</v>
      </c>
      <c r="D92" s="8" t="s">
        <v>732</v>
      </c>
      <c r="E92" s="7"/>
      <c r="F92" s="7" t="s">
        <v>733</v>
      </c>
      <c r="G92" s="7" t="s">
        <v>734</v>
      </c>
      <c r="H92" s="7" t="s">
        <v>735</v>
      </c>
      <c r="I92" s="7" t="s">
        <v>693</v>
      </c>
      <c r="J92" s="7"/>
      <c r="K92" s="7" t="s">
        <v>68</v>
      </c>
      <c r="L92" s="7"/>
      <c r="M92" s="7" t="s">
        <v>638</v>
      </c>
      <c r="N92" s="7" t="s">
        <v>49</v>
      </c>
      <c r="O92" s="7"/>
      <c r="P92" s="7"/>
      <c r="Q92" s="7" t="s">
        <v>736</v>
      </c>
    </row>
    <row r="93" customFormat="false" ht="35.05" hidden="false" customHeight="false" outlineLevel="0" collapsed="false">
      <c r="A93" s="9" t="s">
        <v>737</v>
      </c>
      <c r="B93" s="9" t="s">
        <v>629</v>
      </c>
      <c r="C93" s="9" t="s">
        <v>667</v>
      </c>
      <c r="D93" s="10" t="s">
        <v>738</v>
      </c>
      <c r="E93" s="9"/>
      <c r="F93" s="9" t="s">
        <v>739</v>
      </c>
      <c r="G93" s="9" t="s">
        <v>740</v>
      </c>
      <c r="H93" s="9" t="s">
        <v>741</v>
      </c>
      <c r="I93" s="9" t="s">
        <v>742</v>
      </c>
      <c r="J93" s="9"/>
      <c r="K93" s="9" t="s">
        <v>68</v>
      </c>
      <c r="L93" s="9"/>
      <c r="M93" s="9" t="s">
        <v>638</v>
      </c>
      <c r="N93" s="9" t="s">
        <v>49</v>
      </c>
      <c r="O93" s="9"/>
      <c r="P93" s="9"/>
      <c r="Q93" s="9" t="s">
        <v>743</v>
      </c>
    </row>
    <row r="94" customFormat="false" ht="35.05" hidden="false" customHeight="false" outlineLevel="0" collapsed="false">
      <c r="A94" s="7" t="s">
        <v>744</v>
      </c>
      <c r="B94" s="7" t="s">
        <v>629</v>
      </c>
      <c r="C94" s="7" t="s">
        <v>745</v>
      </c>
      <c r="D94" s="8" t="s">
        <v>746</v>
      </c>
      <c r="E94" s="7" t="s">
        <v>747</v>
      </c>
      <c r="F94" s="7" t="s">
        <v>748</v>
      </c>
      <c r="G94" s="7" t="s">
        <v>749</v>
      </c>
      <c r="H94" s="7" t="s">
        <v>750</v>
      </c>
      <c r="I94" s="7" t="s">
        <v>751</v>
      </c>
      <c r="J94" s="7"/>
      <c r="K94" s="7" t="s">
        <v>68</v>
      </c>
      <c r="L94" s="7"/>
      <c r="M94" s="7" t="s">
        <v>638</v>
      </c>
      <c r="N94" s="7" t="s">
        <v>49</v>
      </c>
      <c r="O94" s="7"/>
      <c r="P94" s="7"/>
      <c r="Q94" s="7" t="s">
        <v>752</v>
      </c>
    </row>
    <row r="95" customFormat="false" ht="23.85" hidden="false" customHeight="false" outlineLevel="0" collapsed="false">
      <c r="A95" s="9" t="s">
        <v>753</v>
      </c>
      <c r="B95" s="9" t="s">
        <v>629</v>
      </c>
      <c r="C95" s="9" t="s">
        <v>745</v>
      </c>
      <c r="D95" s="10" t="s">
        <v>754</v>
      </c>
      <c r="E95" s="9"/>
      <c r="F95" s="9" t="s">
        <v>755</v>
      </c>
      <c r="G95" s="9" t="s">
        <v>756</v>
      </c>
      <c r="H95" s="9" t="s">
        <v>757</v>
      </c>
      <c r="I95" s="9" t="s">
        <v>746</v>
      </c>
      <c r="J95" s="9"/>
      <c r="K95" s="9" t="s">
        <v>68</v>
      </c>
      <c r="L95" s="9"/>
      <c r="M95" s="9" t="s">
        <v>638</v>
      </c>
      <c r="N95" s="9" t="s">
        <v>49</v>
      </c>
      <c r="O95" s="9"/>
      <c r="P95" s="9"/>
      <c r="Q95" s="9" t="s">
        <v>758</v>
      </c>
    </row>
    <row r="96" customFormat="false" ht="35.05" hidden="false" customHeight="false" outlineLevel="0" collapsed="false">
      <c r="A96" s="7" t="s">
        <v>759</v>
      </c>
      <c r="B96" s="7" t="s">
        <v>629</v>
      </c>
      <c r="C96" s="7" t="s">
        <v>760</v>
      </c>
      <c r="D96" s="8" t="s">
        <v>761</v>
      </c>
      <c r="E96" s="7"/>
      <c r="F96" s="7" t="s">
        <v>762</v>
      </c>
      <c r="G96" s="7" t="s">
        <v>763</v>
      </c>
      <c r="H96" s="7" t="s">
        <v>764</v>
      </c>
      <c r="I96" s="7" t="s">
        <v>765</v>
      </c>
      <c r="J96" s="7"/>
      <c r="K96" s="7" t="s">
        <v>68</v>
      </c>
      <c r="L96" s="7"/>
      <c r="M96" s="7" t="s">
        <v>638</v>
      </c>
      <c r="N96" s="7" t="s">
        <v>49</v>
      </c>
      <c r="O96" s="7"/>
      <c r="P96" s="7"/>
      <c r="Q96" s="7" t="s">
        <v>766</v>
      </c>
    </row>
    <row r="97" customFormat="false" ht="23.85" hidden="false" customHeight="false" outlineLevel="0" collapsed="false">
      <c r="A97" s="9" t="s">
        <v>767</v>
      </c>
      <c r="B97" s="9" t="s">
        <v>629</v>
      </c>
      <c r="C97" s="9" t="s">
        <v>760</v>
      </c>
      <c r="D97" s="10" t="s">
        <v>768</v>
      </c>
      <c r="E97" s="9"/>
      <c r="F97" s="9" t="s">
        <v>769</v>
      </c>
      <c r="G97" s="9" t="s">
        <v>770</v>
      </c>
      <c r="H97" s="9" t="s">
        <v>771</v>
      </c>
      <c r="I97" s="9" t="s">
        <v>772</v>
      </c>
      <c r="J97" s="9"/>
      <c r="K97" s="9" t="s">
        <v>46</v>
      </c>
      <c r="L97" s="9"/>
      <c r="M97" s="9" t="s">
        <v>638</v>
      </c>
      <c r="N97" s="9" t="s">
        <v>49</v>
      </c>
      <c r="O97" s="9"/>
      <c r="P97" s="9"/>
      <c r="Q97" s="9" t="s">
        <v>773</v>
      </c>
    </row>
    <row r="98" customFormat="false" ht="23.85" hidden="false" customHeight="false" outlineLevel="0" collapsed="false">
      <c r="A98" s="7" t="s">
        <v>774</v>
      </c>
      <c r="B98" s="7" t="s">
        <v>629</v>
      </c>
      <c r="C98" s="7" t="s">
        <v>760</v>
      </c>
      <c r="D98" s="8" t="s">
        <v>775</v>
      </c>
      <c r="E98" s="7"/>
      <c r="F98" s="7" t="s">
        <v>776</v>
      </c>
      <c r="G98" s="7" t="s">
        <v>777</v>
      </c>
      <c r="H98" s="7" t="s">
        <v>778</v>
      </c>
      <c r="I98" s="7" t="s">
        <v>779</v>
      </c>
      <c r="J98" s="7"/>
      <c r="K98" s="7" t="s">
        <v>46</v>
      </c>
      <c r="L98" s="7"/>
      <c r="M98" s="7" t="s">
        <v>638</v>
      </c>
      <c r="N98" s="7" t="s">
        <v>49</v>
      </c>
      <c r="O98" s="7"/>
      <c r="P98" s="7"/>
      <c r="Q98" s="7" t="s">
        <v>780</v>
      </c>
    </row>
    <row r="99" customFormat="false" ht="23.85" hidden="false" customHeight="false" outlineLevel="0" collapsed="false">
      <c r="A99" s="9" t="s">
        <v>781</v>
      </c>
      <c r="B99" s="9" t="s">
        <v>629</v>
      </c>
      <c r="C99" s="9" t="s">
        <v>760</v>
      </c>
      <c r="D99" s="10" t="s">
        <v>782</v>
      </c>
      <c r="E99" s="9"/>
      <c r="F99" s="9" t="s">
        <v>783</v>
      </c>
      <c r="G99" s="9" t="s">
        <v>784</v>
      </c>
      <c r="H99" s="9" t="s">
        <v>785</v>
      </c>
      <c r="I99" s="9" t="s">
        <v>786</v>
      </c>
      <c r="J99" s="9"/>
      <c r="K99" s="9" t="s">
        <v>46</v>
      </c>
      <c r="L99" s="9"/>
      <c r="M99" s="9" t="s">
        <v>638</v>
      </c>
      <c r="N99" s="9" t="s">
        <v>49</v>
      </c>
      <c r="O99" s="9"/>
      <c r="P99" s="9"/>
      <c r="Q99" s="9" t="s">
        <v>787</v>
      </c>
    </row>
    <row r="100" customFormat="false" ht="35.05" hidden="false" customHeight="false" outlineLevel="0" collapsed="false">
      <c r="A100" s="7" t="s">
        <v>788</v>
      </c>
      <c r="B100" s="7" t="s">
        <v>629</v>
      </c>
      <c r="C100" s="7" t="s">
        <v>760</v>
      </c>
      <c r="D100" s="8" t="s">
        <v>789</v>
      </c>
      <c r="E100" s="7"/>
      <c r="F100" s="7" t="s">
        <v>790</v>
      </c>
      <c r="G100" s="7" t="s">
        <v>791</v>
      </c>
      <c r="H100" s="7" t="s">
        <v>792</v>
      </c>
      <c r="I100" s="7" t="s">
        <v>793</v>
      </c>
      <c r="J100" s="7"/>
      <c r="K100" s="7" t="s">
        <v>68</v>
      </c>
      <c r="L100" s="7" t="s">
        <v>794</v>
      </c>
      <c r="M100" s="7" t="s">
        <v>638</v>
      </c>
      <c r="N100" s="7" t="s">
        <v>49</v>
      </c>
      <c r="O100" s="7"/>
      <c r="P100" s="7"/>
      <c r="Q100" s="7" t="s">
        <v>795</v>
      </c>
    </row>
    <row r="101" customFormat="false" ht="35.05" hidden="false" customHeight="false" outlineLevel="0" collapsed="false">
      <c r="A101" s="9" t="s">
        <v>796</v>
      </c>
      <c r="B101" s="9" t="s">
        <v>797</v>
      </c>
      <c r="C101" s="9" t="s">
        <v>798</v>
      </c>
      <c r="D101" s="10" t="s">
        <v>799</v>
      </c>
      <c r="E101" s="9" t="s">
        <v>800</v>
      </c>
      <c r="F101" s="9" t="s">
        <v>801</v>
      </c>
      <c r="G101" s="9" t="s">
        <v>802</v>
      </c>
      <c r="H101" s="9" t="s">
        <v>803</v>
      </c>
      <c r="I101" s="9" t="s">
        <v>804</v>
      </c>
      <c r="J101" s="9"/>
      <c r="K101" s="9" t="s">
        <v>46</v>
      </c>
      <c r="L101" s="9"/>
      <c r="M101" s="9" t="s">
        <v>805</v>
      </c>
      <c r="N101" s="9" t="s">
        <v>49</v>
      </c>
      <c r="O101" s="9"/>
      <c r="P101" s="9"/>
      <c r="Q101" s="9" t="s">
        <v>806</v>
      </c>
    </row>
    <row r="102" customFormat="false" ht="35.05" hidden="false" customHeight="false" outlineLevel="0" collapsed="false">
      <c r="A102" s="7" t="s">
        <v>807</v>
      </c>
      <c r="B102" s="7" t="s">
        <v>797</v>
      </c>
      <c r="C102" s="7" t="s">
        <v>798</v>
      </c>
      <c r="D102" s="8" t="s">
        <v>808</v>
      </c>
      <c r="E102" s="7"/>
      <c r="F102" s="7" t="s">
        <v>809</v>
      </c>
      <c r="G102" s="7" t="s">
        <v>802</v>
      </c>
      <c r="H102" s="7" t="s">
        <v>810</v>
      </c>
      <c r="I102" s="7" t="s">
        <v>811</v>
      </c>
      <c r="J102" s="7"/>
      <c r="K102" s="7" t="s">
        <v>46</v>
      </c>
      <c r="L102" s="7"/>
      <c r="M102" s="7" t="s">
        <v>805</v>
      </c>
      <c r="N102" s="7" t="s">
        <v>49</v>
      </c>
      <c r="O102" s="7"/>
      <c r="P102" s="7"/>
      <c r="Q102" s="7" t="s">
        <v>812</v>
      </c>
    </row>
    <row r="103" customFormat="false" ht="35.05" hidden="false" customHeight="false" outlineLevel="0" collapsed="false">
      <c r="A103" s="9" t="s">
        <v>813</v>
      </c>
      <c r="B103" s="9" t="s">
        <v>797</v>
      </c>
      <c r="C103" s="9" t="s">
        <v>798</v>
      </c>
      <c r="D103" s="10" t="s">
        <v>814</v>
      </c>
      <c r="E103" s="9"/>
      <c r="F103" s="9" t="s">
        <v>815</v>
      </c>
      <c r="G103" s="9" t="s">
        <v>816</v>
      </c>
      <c r="H103" s="9" t="s">
        <v>817</v>
      </c>
      <c r="I103" s="9" t="s">
        <v>799</v>
      </c>
      <c r="J103" s="9"/>
      <c r="K103" s="9" t="s">
        <v>68</v>
      </c>
      <c r="L103" s="9"/>
      <c r="M103" s="9" t="s">
        <v>805</v>
      </c>
      <c r="N103" s="9" t="s">
        <v>49</v>
      </c>
      <c r="O103" s="9"/>
      <c r="P103" s="9"/>
      <c r="Q103" s="9" t="s">
        <v>818</v>
      </c>
    </row>
    <row r="104" customFormat="false" ht="23.85" hidden="false" customHeight="false" outlineLevel="0" collapsed="false">
      <c r="A104" s="7" t="s">
        <v>819</v>
      </c>
      <c r="B104" s="7" t="s">
        <v>797</v>
      </c>
      <c r="C104" s="7" t="s">
        <v>798</v>
      </c>
      <c r="D104" s="8" t="s">
        <v>820</v>
      </c>
      <c r="E104" s="7"/>
      <c r="F104" s="7" t="s">
        <v>821</v>
      </c>
      <c r="G104" s="7" t="s">
        <v>822</v>
      </c>
      <c r="H104" s="7" t="s">
        <v>823</v>
      </c>
      <c r="I104" s="7" t="s">
        <v>824</v>
      </c>
      <c r="J104" s="7"/>
      <c r="K104" s="7" t="s">
        <v>68</v>
      </c>
      <c r="L104" s="7"/>
      <c r="M104" s="7" t="s">
        <v>805</v>
      </c>
      <c r="N104" s="7" t="s">
        <v>49</v>
      </c>
      <c r="O104" s="7"/>
      <c r="P104" s="7"/>
      <c r="Q104" s="7" t="s">
        <v>825</v>
      </c>
    </row>
    <row r="105" customFormat="false" ht="23.85" hidden="false" customHeight="false" outlineLevel="0" collapsed="false">
      <c r="A105" s="9" t="s">
        <v>826</v>
      </c>
      <c r="B105" s="9" t="s">
        <v>797</v>
      </c>
      <c r="C105" s="9" t="s">
        <v>798</v>
      </c>
      <c r="D105" s="10" t="s">
        <v>827</v>
      </c>
      <c r="E105" s="9"/>
      <c r="F105" s="9" t="s">
        <v>828</v>
      </c>
      <c r="G105" s="9" t="s">
        <v>829</v>
      </c>
      <c r="H105" s="9" t="s">
        <v>830</v>
      </c>
      <c r="I105" s="9" t="s">
        <v>799</v>
      </c>
      <c r="J105" s="9" t="s">
        <v>831</v>
      </c>
      <c r="K105" s="9" t="s">
        <v>68</v>
      </c>
      <c r="L105" s="9"/>
      <c r="M105" s="9" t="s">
        <v>805</v>
      </c>
      <c r="N105" s="9" t="s">
        <v>49</v>
      </c>
      <c r="O105" s="9"/>
      <c r="P105" s="9"/>
      <c r="Q105" s="9" t="s">
        <v>832</v>
      </c>
    </row>
    <row r="106" customFormat="false" ht="23.85" hidden="false" customHeight="false" outlineLevel="0" collapsed="false">
      <c r="A106" s="7" t="s">
        <v>833</v>
      </c>
      <c r="B106" s="7" t="s">
        <v>797</v>
      </c>
      <c r="C106" s="7" t="s">
        <v>798</v>
      </c>
      <c r="D106" s="8" t="s">
        <v>834</v>
      </c>
      <c r="E106" s="7"/>
      <c r="F106" s="7" t="s">
        <v>835</v>
      </c>
      <c r="G106" s="7" t="s">
        <v>836</v>
      </c>
      <c r="H106" s="7" t="s">
        <v>837</v>
      </c>
      <c r="I106" s="7" t="s">
        <v>799</v>
      </c>
      <c r="J106" s="7"/>
      <c r="K106" s="7" t="s">
        <v>68</v>
      </c>
      <c r="L106" s="7"/>
      <c r="M106" s="7" t="s">
        <v>805</v>
      </c>
      <c r="N106" s="7" t="s">
        <v>49</v>
      </c>
      <c r="O106" s="7"/>
      <c r="P106" s="7"/>
      <c r="Q106" s="7" t="s">
        <v>838</v>
      </c>
    </row>
    <row r="107" customFormat="false" ht="23.85" hidden="false" customHeight="false" outlineLevel="0" collapsed="false">
      <c r="A107" s="9" t="s">
        <v>839</v>
      </c>
      <c r="B107" s="9" t="s">
        <v>797</v>
      </c>
      <c r="C107" s="9" t="s">
        <v>798</v>
      </c>
      <c r="D107" s="10" t="s">
        <v>840</v>
      </c>
      <c r="E107" s="9"/>
      <c r="F107" s="9" t="s">
        <v>841</v>
      </c>
      <c r="G107" s="9" t="s">
        <v>842</v>
      </c>
      <c r="H107" s="9" t="s">
        <v>843</v>
      </c>
      <c r="I107" s="9" t="s">
        <v>844</v>
      </c>
      <c r="J107" s="9"/>
      <c r="K107" s="9" t="s">
        <v>68</v>
      </c>
      <c r="L107" s="9"/>
      <c r="M107" s="9" t="s">
        <v>805</v>
      </c>
      <c r="N107" s="9" t="s">
        <v>49</v>
      </c>
      <c r="O107" s="9"/>
      <c r="P107" s="9"/>
      <c r="Q107" s="9" t="s">
        <v>845</v>
      </c>
    </row>
    <row r="108" customFormat="false" ht="23.85" hidden="false" customHeight="false" outlineLevel="0" collapsed="false">
      <c r="A108" s="7" t="s">
        <v>846</v>
      </c>
      <c r="B108" s="7" t="s">
        <v>797</v>
      </c>
      <c r="C108" s="7" t="s">
        <v>798</v>
      </c>
      <c r="D108" s="8" t="s">
        <v>847</v>
      </c>
      <c r="E108" s="7"/>
      <c r="F108" s="7" t="s">
        <v>848</v>
      </c>
      <c r="G108" s="7" t="s">
        <v>849</v>
      </c>
      <c r="H108" s="7" t="s">
        <v>850</v>
      </c>
      <c r="I108" s="7" t="s">
        <v>851</v>
      </c>
      <c r="J108" s="7"/>
      <c r="K108" s="7" t="s">
        <v>99</v>
      </c>
      <c r="L108" s="7"/>
      <c r="M108" s="7" t="s">
        <v>805</v>
      </c>
      <c r="N108" s="7" t="s">
        <v>49</v>
      </c>
      <c r="O108" s="7"/>
      <c r="P108" s="7"/>
      <c r="Q108" s="7" t="s">
        <v>852</v>
      </c>
    </row>
    <row r="109" customFormat="false" ht="23.85" hidden="false" customHeight="false" outlineLevel="0" collapsed="false">
      <c r="A109" s="9" t="s">
        <v>853</v>
      </c>
      <c r="B109" s="9" t="s">
        <v>797</v>
      </c>
      <c r="C109" s="9" t="s">
        <v>798</v>
      </c>
      <c r="D109" s="10" t="s">
        <v>854</v>
      </c>
      <c r="E109" s="9"/>
      <c r="F109" s="9" t="s">
        <v>855</v>
      </c>
      <c r="G109" s="9" t="s">
        <v>856</v>
      </c>
      <c r="H109" s="9" t="s">
        <v>857</v>
      </c>
      <c r="I109" s="9" t="s">
        <v>858</v>
      </c>
      <c r="J109" s="9"/>
      <c r="K109" s="9" t="s">
        <v>68</v>
      </c>
      <c r="L109" s="9"/>
      <c r="M109" s="9" t="s">
        <v>805</v>
      </c>
      <c r="N109" s="9" t="s">
        <v>49</v>
      </c>
      <c r="O109" s="9"/>
      <c r="P109" s="9"/>
      <c r="Q109" s="9" t="s">
        <v>859</v>
      </c>
    </row>
    <row r="110" customFormat="false" ht="23.85" hidden="false" customHeight="false" outlineLevel="0" collapsed="false">
      <c r="A110" s="7" t="s">
        <v>860</v>
      </c>
      <c r="B110" s="7" t="s">
        <v>797</v>
      </c>
      <c r="C110" s="7" t="s">
        <v>798</v>
      </c>
      <c r="D110" s="8" t="s">
        <v>861</v>
      </c>
      <c r="E110" s="7"/>
      <c r="F110" s="7" t="s">
        <v>862</v>
      </c>
      <c r="G110" s="7" t="s">
        <v>863</v>
      </c>
      <c r="H110" s="7" t="s">
        <v>864</v>
      </c>
      <c r="I110" s="7" t="s">
        <v>660</v>
      </c>
      <c r="J110" s="7"/>
      <c r="K110" s="7" t="s">
        <v>68</v>
      </c>
      <c r="L110" s="7"/>
      <c r="M110" s="7" t="s">
        <v>805</v>
      </c>
      <c r="N110" s="7" t="s">
        <v>49</v>
      </c>
      <c r="O110" s="7"/>
      <c r="P110" s="7"/>
      <c r="Q110" s="7" t="s">
        <v>865</v>
      </c>
    </row>
    <row r="111" customFormat="false" ht="23.85" hidden="false" customHeight="false" outlineLevel="0" collapsed="false">
      <c r="A111" s="9" t="s">
        <v>866</v>
      </c>
      <c r="B111" s="9" t="s">
        <v>797</v>
      </c>
      <c r="C111" s="9" t="s">
        <v>867</v>
      </c>
      <c r="D111" s="10" t="s">
        <v>868</v>
      </c>
      <c r="E111" s="9" t="s">
        <v>869</v>
      </c>
      <c r="F111" s="9" t="s">
        <v>870</v>
      </c>
      <c r="G111" s="9" t="s">
        <v>871</v>
      </c>
      <c r="H111" s="9" t="s">
        <v>872</v>
      </c>
      <c r="I111" s="9" t="s">
        <v>873</v>
      </c>
      <c r="J111" s="9"/>
      <c r="K111" s="9" t="s">
        <v>46</v>
      </c>
      <c r="L111" s="9"/>
      <c r="M111" s="9" t="s">
        <v>805</v>
      </c>
      <c r="N111" s="9" t="s">
        <v>49</v>
      </c>
      <c r="O111" s="9"/>
      <c r="P111" s="9"/>
      <c r="Q111" s="9" t="s">
        <v>874</v>
      </c>
    </row>
    <row r="112" customFormat="false" ht="23.85" hidden="false" customHeight="false" outlineLevel="0" collapsed="false">
      <c r="A112" s="7" t="s">
        <v>875</v>
      </c>
      <c r="B112" s="7" t="s">
        <v>797</v>
      </c>
      <c r="C112" s="7" t="s">
        <v>867</v>
      </c>
      <c r="D112" s="8" t="s">
        <v>876</v>
      </c>
      <c r="E112" s="7"/>
      <c r="F112" s="7" t="s">
        <v>877</v>
      </c>
      <c r="G112" s="7" t="s">
        <v>878</v>
      </c>
      <c r="H112" s="7" t="s">
        <v>879</v>
      </c>
      <c r="I112" s="7" t="s">
        <v>880</v>
      </c>
      <c r="J112" s="7"/>
      <c r="K112" s="7" t="s">
        <v>46</v>
      </c>
      <c r="L112" s="7"/>
      <c r="M112" s="7" t="s">
        <v>805</v>
      </c>
      <c r="N112" s="7" t="s">
        <v>49</v>
      </c>
      <c r="O112" s="7"/>
      <c r="P112" s="7"/>
      <c r="Q112" s="7" t="s">
        <v>881</v>
      </c>
    </row>
    <row r="113" customFormat="false" ht="23.85" hidden="false" customHeight="false" outlineLevel="0" collapsed="false">
      <c r="A113" s="9" t="s">
        <v>882</v>
      </c>
      <c r="B113" s="9" t="s">
        <v>797</v>
      </c>
      <c r="C113" s="9" t="s">
        <v>867</v>
      </c>
      <c r="D113" s="10" t="s">
        <v>883</v>
      </c>
      <c r="E113" s="9" t="s">
        <v>884</v>
      </c>
      <c r="F113" s="9" t="s">
        <v>885</v>
      </c>
      <c r="G113" s="9" t="s">
        <v>886</v>
      </c>
      <c r="H113" s="9" t="s">
        <v>887</v>
      </c>
      <c r="I113" s="9" t="s">
        <v>888</v>
      </c>
      <c r="J113" s="9"/>
      <c r="K113" s="9" t="s">
        <v>46</v>
      </c>
      <c r="L113" s="9"/>
      <c r="M113" s="9" t="s">
        <v>805</v>
      </c>
      <c r="N113" s="9" t="s">
        <v>49</v>
      </c>
      <c r="O113" s="9"/>
      <c r="P113" s="9"/>
      <c r="Q113" s="9" t="s">
        <v>889</v>
      </c>
    </row>
    <row r="114" customFormat="false" ht="23.85" hidden="false" customHeight="false" outlineLevel="0" collapsed="false">
      <c r="A114" s="7" t="s">
        <v>890</v>
      </c>
      <c r="B114" s="7" t="s">
        <v>797</v>
      </c>
      <c r="C114" s="7" t="s">
        <v>867</v>
      </c>
      <c r="D114" s="8" t="s">
        <v>891</v>
      </c>
      <c r="E114" s="7"/>
      <c r="F114" s="7" t="s">
        <v>892</v>
      </c>
      <c r="G114" s="7" t="s">
        <v>878</v>
      </c>
      <c r="H114" s="7" t="s">
        <v>893</v>
      </c>
      <c r="I114" s="7" t="s">
        <v>894</v>
      </c>
      <c r="J114" s="7"/>
      <c r="K114" s="7" t="s">
        <v>68</v>
      </c>
      <c r="L114" s="7"/>
      <c r="M114" s="7" t="s">
        <v>805</v>
      </c>
      <c r="N114" s="7" t="s">
        <v>49</v>
      </c>
      <c r="O114" s="7"/>
      <c r="P114" s="7"/>
      <c r="Q114" s="7" t="s">
        <v>895</v>
      </c>
    </row>
    <row r="115" customFormat="false" ht="23.85" hidden="false" customHeight="false" outlineLevel="0" collapsed="false">
      <c r="A115" s="9" t="s">
        <v>896</v>
      </c>
      <c r="B115" s="9" t="s">
        <v>797</v>
      </c>
      <c r="C115" s="9" t="s">
        <v>867</v>
      </c>
      <c r="D115" s="10" t="s">
        <v>897</v>
      </c>
      <c r="E115" s="9"/>
      <c r="F115" s="9" t="s">
        <v>898</v>
      </c>
      <c r="G115" s="9" t="s">
        <v>899</v>
      </c>
      <c r="H115" s="9" t="s">
        <v>900</v>
      </c>
      <c r="I115" s="9" t="s">
        <v>901</v>
      </c>
      <c r="J115" s="9"/>
      <c r="K115" s="9" t="s">
        <v>68</v>
      </c>
      <c r="L115" s="9"/>
      <c r="M115" s="9" t="s">
        <v>805</v>
      </c>
      <c r="N115" s="9" t="s">
        <v>49</v>
      </c>
      <c r="O115" s="9"/>
      <c r="P115" s="9"/>
      <c r="Q115" s="9" t="s">
        <v>902</v>
      </c>
    </row>
    <row r="116" customFormat="false" ht="23.85" hidden="false" customHeight="false" outlineLevel="0" collapsed="false">
      <c r="A116" s="7" t="s">
        <v>903</v>
      </c>
      <c r="B116" s="7" t="s">
        <v>797</v>
      </c>
      <c r="C116" s="7" t="s">
        <v>867</v>
      </c>
      <c r="D116" s="8" t="s">
        <v>904</v>
      </c>
      <c r="E116" s="7"/>
      <c r="F116" s="7" t="s">
        <v>905</v>
      </c>
      <c r="G116" s="7" t="s">
        <v>906</v>
      </c>
      <c r="H116" s="7" t="s">
        <v>907</v>
      </c>
      <c r="I116" s="7" t="s">
        <v>908</v>
      </c>
      <c r="J116" s="7"/>
      <c r="K116" s="7" t="s">
        <v>46</v>
      </c>
      <c r="L116" s="7"/>
      <c r="M116" s="7" t="s">
        <v>805</v>
      </c>
      <c r="N116" s="7" t="s">
        <v>49</v>
      </c>
      <c r="O116" s="7"/>
      <c r="P116" s="7"/>
      <c r="Q116" s="7" t="s">
        <v>909</v>
      </c>
    </row>
    <row r="117" customFormat="false" ht="23.85" hidden="false" customHeight="false" outlineLevel="0" collapsed="false">
      <c r="A117" s="9" t="s">
        <v>910</v>
      </c>
      <c r="B117" s="9" t="s">
        <v>797</v>
      </c>
      <c r="C117" s="9" t="s">
        <v>867</v>
      </c>
      <c r="D117" s="10" t="s">
        <v>911</v>
      </c>
      <c r="E117" s="9"/>
      <c r="F117" s="9" t="s">
        <v>912</v>
      </c>
      <c r="G117" s="9" t="s">
        <v>913</v>
      </c>
      <c r="H117" s="9" t="s">
        <v>914</v>
      </c>
      <c r="I117" s="9" t="s">
        <v>904</v>
      </c>
      <c r="J117" s="9"/>
      <c r="K117" s="9" t="s">
        <v>46</v>
      </c>
      <c r="L117" s="9"/>
      <c r="M117" s="9" t="s">
        <v>805</v>
      </c>
      <c r="N117" s="9" t="s">
        <v>49</v>
      </c>
      <c r="O117" s="9"/>
      <c r="P117" s="9"/>
      <c r="Q117" s="9" t="s">
        <v>915</v>
      </c>
    </row>
    <row r="118" customFormat="false" ht="23.85" hidden="false" customHeight="false" outlineLevel="0" collapsed="false">
      <c r="A118" s="7" t="s">
        <v>916</v>
      </c>
      <c r="B118" s="7" t="s">
        <v>797</v>
      </c>
      <c r="C118" s="7" t="s">
        <v>867</v>
      </c>
      <c r="D118" s="8" t="s">
        <v>917</v>
      </c>
      <c r="E118" s="7"/>
      <c r="F118" s="7" t="s">
        <v>918</v>
      </c>
      <c r="G118" s="7" t="s">
        <v>906</v>
      </c>
      <c r="H118" s="7" t="s">
        <v>919</v>
      </c>
      <c r="I118" s="7" t="s">
        <v>920</v>
      </c>
      <c r="J118" s="7"/>
      <c r="K118" s="7" t="s">
        <v>68</v>
      </c>
      <c r="L118" s="7"/>
      <c r="M118" s="7" t="s">
        <v>805</v>
      </c>
      <c r="N118" s="7" t="s">
        <v>49</v>
      </c>
      <c r="O118" s="7"/>
      <c r="P118" s="7"/>
      <c r="Q118" s="7" t="s">
        <v>921</v>
      </c>
    </row>
    <row r="119" customFormat="false" ht="23.85" hidden="false" customHeight="false" outlineLevel="0" collapsed="false">
      <c r="A119" s="9" t="s">
        <v>922</v>
      </c>
      <c r="B119" s="9" t="s">
        <v>797</v>
      </c>
      <c r="C119" s="9" t="s">
        <v>867</v>
      </c>
      <c r="D119" s="10" t="s">
        <v>923</v>
      </c>
      <c r="E119" s="9"/>
      <c r="F119" s="9" t="s">
        <v>924</v>
      </c>
      <c r="G119" s="9" t="s">
        <v>913</v>
      </c>
      <c r="H119" s="9" t="s">
        <v>925</v>
      </c>
      <c r="I119" s="9" t="s">
        <v>926</v>
      </c>
      <c r="J119" s="9"/>
      <c r="K119" s="9" t="s">
        <v>68</v>
      </c>
      <c r="L119" s="9" t="s">
        <v>927</v>
      </c>
      <c r="M119" s="9" t="s">
        <v>805</v>
      </c>
      <c r="N119" s="9" t="s">
        <v>49</v>
      </c>
      <c r="O119" s="9"/>
      <c r="P119" s="9"/>
      <c r="Q119" s="9" t="s">
        <v>928</v>
      </c>
    </row>
    <row r="120" customFormat="false" ht="23.85" hidden="false" customHeight="false" outlineLevel="0" collapsed="false">
      <c r="A120" s="7" t="s">
        <v>929</v>
      </c>
      <c r="B120" s="7" t="s">
        <v>797</v>
      </c>
      <c r="C120" s="7" t="s">
        <v>867</v>
      </c>
      <c r="D120" s="8" t="s">
        <v>930</v>
      </c>
      <c r="E120" s="7"/>
      <c r="F120" s="7" t="s">
        <v>931</v>
      </c>
      <c r="G120" s="7" t="s">
        <v>932</v>
      </c>
      <c r="H120" s="7" t="s">
        <v>933</v>
      </c>
      <c r="I120" s="7" t="s">
        <v>934</v>
      </c>
      <c r="J120" s="7"/>
      <c r="K120" s="7" t="s">
        <v>68</v>
      </c>
      <c r="L120" s="7"/>
      <c r="M120" s="7" t="s">
        <v>805</v>
      </c>
      <c r="N120" s="7" t="s">
        <v>49</v>
      </c>
      <c r="O120" s="7"/>
      <c r="P120" s="7"/>
      <c r="Q120" s="7" t="s">
        <v>935</v>
      </c>
    </row>
    <row r="121" customFormat="false" ht="35.05" hidden="false" customHeight="false" outlineLevel="0" collapsed="false">
      <c r="A121" s="9" t="s">
        <v>936</v>
      </c>
      <c r="B121" s="9" t="s">
        <v>797</v>
      </c>
      <c r="C121" s="9" t="s">
        <v>867</v>
      </c>
      <c r="D121" s="10" t="s">
        <v>937</v>
      </c>
      <c r="E121" s="9"/>
      <c r="F121" s="9" t="s">
        <v>938</v>
      </c>
      <c r="G121" s="9" t="s">
        <v>939</v>
      </c>
      <c r="H121" s="9" t="s">
        <v>940</v>
      </c>
      <c r="I121" s="9" t="s">
        <v>941</v>
      </c>
      <c r="J121" s="9"/>
      <c r="K121" s="9" t="s">
        <v>68</v>
      </c>
      <c r="L121" s="9"/>
      <c r="M121" s="9" t="s">
        <v>805</v>
      </c>
      <c r="N121" s="9" t="s">
        <v>49</v>
      </c>
      <c r="O121" s="9"/>
      <c r="P121" s="9"/>
      <c r="Q121" s="9" t="s">
        <v>942</v>
      </c>
    </row>
    <row r="122" customFormat="false" ht="23.85" hidden="false" customHeight="false" outlineLevel="0" collapsed="false">
      <c r="A122" s="7" t="s">
        <v>943</v>
      </c>
      <c r="B122" s="7" t="s">
        <v>797</v>
      </c>
      <c r="C122" s="7" t="s">
        <v>867</v>
      </c>
      <c r="D122" s="8" t="s">
        <v>944</v>
      </c>
      <c r="E122" s="7"/>
      <c r="F122" s="7" t="s">
        <v>945</v>
      </c>
      <c r="G122" s="7" t="s">
        <v>946</v>
      </c>
      <c r="H122" s="7" t="s">
        <v>947</v>
      </c>
      <c r="I122" s="7" t="s">
        <v>948</v>
      </c>
      <c r="J122" s="7"/>
      <c r="K122" s="7" t="s">
        <v>68</v>
      </c>
      <c r="L122" s="7"/>
      <c r="M122" s="7" t="s">
        <v>805</v>
      </c>
      <c r="N122" s="7" t="s">
        <v>49</v>
      </c>
      <c r="O122" s="7"/>
      <c r="P122" s="7"/>
      <c r="Q122" s="7" t="s">
        <v>949</v>
      </c>
    </row>
    <row r="123" customFormat="false" ht="23.85" hidden="false" customHeight="false" outlineLevel="0" collapsed="false">
      <c r="A123" s="9" t="s">
        <v>950</v>
      </c>
      <c r="B123" s="9" t="s">
        <v>797</v>
      </c>
      <c r="C123" s="9" t="s">
        <v>867</v>
      </c>
      <c r="D123" s="10" t="s">
        <v>951</v>
      </c>
      <c r="E123" s="9" t="s">
        <v>952</v>
      </c>
      <c r="F123" s="9" t="s">
        <v>953</v>
      </c>
      <c r="G123" s="9" t="s">
        <v>954</v>
      </c>
      <c r="H123" s="9" t="s">
        <v>955</v>
      </c>
      <c r="I123" s="9" t="s">
        <v>956</v>
      </c>
      <c r="J123" s="9"/>
      <c r="K123" s="9" t="s">
        <v>68</v>
      </c>
      <c r="L123" s="9"/>
      <c r="M123" s="9" t="s">
        <v>805</v>
      </c>
      <c r="N123" s="9" t="s">
        <v>49</v>
      </c>
      <c r="O123" s="9"/>
      <c r="P123" s="9"/>
      <c r="Q123" s="9" t="s">
        <v>957</v>
      </c>
    </row>
    <row r="124" customFormat="false" ht="23.85" hidden="false" customHeight="false" outlineLevel="0" collapsed="false">
      <c r="A124" s="7" t="s">
        <v>958</v>
      </c>
      <c r="B124" s="7" t="s">
        <v>797</v>
      </c>
      <c r="C124" s="7" t="s">
        <v>867</v>
      </c>
      <c r="D124" s="8" t="s">
        <v>959</v>
      </c>
      <c r="E124" s="7" t="s">
        <v>960</v>
      </c>
      <c r="F124" s="7" t="s">
        <v>961</v>
      </c>
      <c r="G124" s="7" t="s">
        <v>962</v>
      </c>
      <c r="H124" s="7" t="s">
        <v>963</v>
      </c>
      <c r="I124" s="7" t="s">
        <v>964</v>
      </c>
      <c r="J124" s="7"/>
      <c r="K124" s="7" t="s">
        <v>99</v>
      </c>
      <c r="L124" s="7"/>
      <c r="M124" s="7" t="s">
        <v>805</v>
      </c>
      <c r="N124" s="7" t="s">
        <v>49</v>
      </c>
      <c r="O124" s="7"/>
      <c r="P124" s="7"/>
      <c r="Q124" s="7" t="s">
        <v>965</v>
      </c>
    </row>
    <row r="125" customFormat="false" ht="23.85" hidden="false" customHeight="false" outlineLevel="0" collapsed="false">
      <c r="A125" s="9" t="s">
        <v>966</v>
      </c>
      <c r="B125" s="9" t="s">
        <v>797</v>
      </c>
      <c r="C125" s="9" t="s">
        <v>967</v>
      </c>
      <c r="D125" s="10" t="s">
        <v>968</v>
      </c>
      <c r="E125" s="9" t="s">
        <v>969</v>
      </c>
      <c r="F125" s="9" t="s">
        <v>970</v>
      </c>
      <c r="G125" s="9" t="s">
        <v>971</v>
      </c>
      <c r="H125" s="9" t="s">
        <v>972</v>
      </c>
      <c r="I125" s="9" t="s">
        <v>973</v>
      </c>
      <c r="J125" s="9"/>
      <c r="K125" s="9" t="s">
        <v>46</v>
      </c>
      <c r="L125" s="9"/>
      <c r="M125" s="9" t="s">
        <v>805</v>
      </c>
      <c r="N125" s="9" t="s">
        <v>49</v>
      </c>
      <c r="O125" s="9"/>
      <c r="P125" s="9"/>
      <c r="Q125" s="9" t="s">
        <v>974</v>
      </c>
    </row>
    <row r="126" customFormat="false" ht="23.85" hidden="false" customHeight="false" outlineLevel="0" collapsed="false">
      <c r="A126" s="7" t="s">
        <v>975</v>
      </c>
      <c r="B126" s="7" t="s">
        <v>797</v>
      </c>
      <c r="C126" s="7" t="s">
        <v>967</v>
      </c>
      <c r="D126" s="8" t="s">
        <v>976</v>
      </c>
      <c r="E126" s="7" t="s">
        <v>977</v>
      </c>
      <c r="F126" s="7" t="s">
        <v>978</v>
      </c>
      <c r="G126" s="7" t="s">
        <v>979</v>
      </c>
      <c r="H126" s="7" t="s">
        <v>980</v>
      </c>
      <c r="I126" s="7" t="s">
        <v>981</v>
      </c>
      <c r="J126" s="7"/>
      <c r="K126" s="7" t="s">
        <v>68</v>
      </c>
      <c r="L126" s="7"/>
      <c r="M126" s="7" t="s">
        <v>805</v>
      </c>
      <c r="N126" s="7" t="s">
        <v>49</v>
      </c>
      <c r="O126" s="7"/>
      <c r="P126" s="7"/>
      <c r="Q126" s="7" t="s">
        <v>982</v>
      </c>
    </row>
    <row r="127" customFormat="false" ht="23.85" hidden="false" customHeight="false" outlineLevel="0" collapsed="false">
      <c r="A127" s="9" t="s">
        <v>983</v>
      </c>
      <c r="B127" s="9" t="s">
        <v>797</v>
      </c>
      <c r="C127" s="9" t="s">
        <v>967</v>
      </c>
      <c r="D127" s="10" t="s">
        <v>984</v>
      </c>
      <c r="E127" s="9"/>
      <c r="F127" s="9" t="s">
        <v>985</v>
      </c>
      <c r="G127" s="9" t="s">
        <v>878</v>
      </c>
      <c r="H127" s="9" t="s">
        <v>986</v>
      </c>
      <c r="I127" s="9" t="s">
        <v>987</v>
      </c>
      <c r="J127" s="9"/>
      <c r="K127" s="9" t="s">
        <v>68</v>
      </c>
      <c r="L127" s="9"/>
      <c r="M127" s="9" t="s">
        <v>805</v>
      </c>
      <c r="N127" s="9" t="s">
        <v>49</v>
      </c>
      <c r="O127" s="9"/>
      <c r="P127" s="9"/>
      <c r="Q127" s="9" t="s">
        <v>988</v>
      </c>
    </row>
    <row r="128" customFormat="false" ht="35.05" hidden="false" customHeight="false" outlineLevel="0" collapsed="false">
      <c r="A128" s="7" t="s">
        <v>989</v>
      </c>
      <c r="B128" s="7" t="s">
        <v>797</v>
      </c>
      <c r="C128" s="7" t="s">
        <v>967</v>
      </c>
      <c r="D128" s="8" t="s">
        <v>990</v>
      </c>
      <c r="E128" s="7"/>
      <c r="F128" s="7" t="s">
        <v>991</v>
      </c>
      <c r="G128" s="7" t="s">
        <v>992</v>
      </c>
      <c r="H128" s="7" t="s">
        <v>993</v>
      </c>
      <c r="I128" s="7" t="s">
        <v>994</v>
      </c>
      <c r="J128" s="7"/>
      <c r="K128" s="7" t="s">
        <v>68</v>
      </c>
      <c r="L128" s="7"/>
      <c r="M128" s="7" t="s">
        <v>805</v>
      </c>
      <c r="N128" s="7" t="s">
        <v>49</v>
      </c>
      <c r="O128" s="7"/>
      <c r="P128" s="7"/>
      <c r="Q128" s="7" t="s">
        <v>995</v>
      </c>
    </row>
    <row r="129" customFormat="false" ht="23.85" hidden="false" customHeight="false" outlineLevel="0" collapsed="false">
      <c r="A129" s="9" t="s">
        <v>996</v>
      </c>
      <c r="B129" s="9" t="s">
        <v>797</v>
      </c>
      <c r="C129" s="9" t="s">
        <v>967</v>
      </c>
      <c r="D129" s="10" t="s">
        <v>997</v>
      </c>
      <c r="E129" s="9" t="s">
        <v>998</v>
      </c>
      <c r="F129" s="9" t="s">
        <v>999</v>
      </c>
      <c r="G129" s="9" t="s">
        <v>1000</v>
      </c>
      <c r="H129" s="9" t="s">
        <v>1001</v>
      </c>
      <c r="I129" s="9" t="s">
        <v>981</v>
      </c>
      <c r="J129" s="9"/>
      <c r="K129" s="9" t="s">
        <v>46</v>
      </c>
      <c r="L129" s="9"/>
      <c r="M129" s="9" t="s">
        <v>805</v>
      </c>
      <c r="N129" s="9" t="s">
        <v>49</v>
      </c>
      <c r="O129" s="9"/>
      <c r="P129" s="9"/>
      <c r="Q129" s="9" t="s">
        <v>1002</v>
      </c>
    </row>
    <row r="130" customFormat="false" ht="35.05" hidden="false" customHeight="false" outlineLevel="0" collapsed="false">
      <c r="A130" s="7" t="s">
        <v>1003</v>
      </c>
      <c r="B130" s="7" t="s">
        <v>797</v>
      </c>
      <c r="C130" s="7" t="s">
        <v>1004</v>
      </c>
      <c r="D130" s="8" t="s">
        <v>1005</v>
      </c>
      <c r="E130" s="7"/>
      <c r="F130" s="7" t="s">
        <v>1006</v>
      </c>
      <c r="G130" s="7" t="s">
        <v>1007</v>
      </c>
      <c r="H130" s="7" t="s">
        <v>1008</v>
      </c>
      <c r="I130" s="7" t="s">
        <v>876</v>
      </c>
      <c r="J130" s="7" t="s">
        <v>1009</v>
      </c>
      <c r="K130" s="7" t="s">
        <v>99</v>
      </c>
      <c r="L130" s="7"/>
      <c r="M130" s="7" t="s">
        <v>805</v>
      </c>
      <c r="N130" s="7" t="s">
        <v>49</v>
      </c>
      <c r="O130" s="7"/>
      <c r="P130" s="7"/>
      <c r="Q130" s="7" t="s">
        <v>1010</v>
      </c>
    </row>
    <row r="131" customFormat="false" ht="23.85" hidden="false" customHeight="false" outlineLevel="0" collapsed="false">
      <c r="A131" s="9" t="s">
        <v>1011</v>
      </c>
      <c r="B131" s="9" t="s">
        <v>1012</v>
      </c>
      <c r="C131" s="9" t="s">
        <v>1013</v>
      </c>
      <c r="D131" s="10" t="s">
        <v>1014</v>
      </c>
      <c r="E131" s="9" t="s">
        <v>1015</v>
      </c>
      <c r="F131" s="9" t="s">
        <v>1016</v>
      </c>
      <c r="G131" s="9" t="s">
        <v>1017</v>
      </c>
      <c r="H131" s="9" t="s">
        <v>1018</v>
      </c>
      <c r="I131" s="9" t="s">
        <v>1019</v>
      </c>
      <c r="J131" s="9"/>
      <c r="K131" s="9" t="s">
        <v>46</v>
      </c>
      <c r="L131" s="9"/>
      <c r="M131" s="9" t="s">
        <v>1020</v>
      </c>
      <c r="N131" s="9" t="s">
        <v>49</v>
      </c>
      <c r="O131" s="9"/>
      <c r="P131" s="9"/>
      <c r="Q131" s="9" t="s">
        <v>1021</v>
      </c>
    </row>
    <row r="132" customFormat="false" ht="23.85" hidden="false" customHeight="false" outlineLevel="0" collapsed="false">
      <c r="A132" s="7" t="s">
        <v>1022</v>
      </c>
      <c r="B132" s="7" t="s">
        <v>1012</v>
      </c>
      <c r="C132" s="7" t="s">
        <v>1013</v>
      </c>
      <c r="D132" s="8" t="s">
        <v>1023</v>
      </c>
      <c r="E132" s="7"/>
      <c r="F132" s="7" t="s">
        <v>1024</v>
      </c>
      <c r="G132" s="7" t="s">
        <v>1025</v>
      </c>
      <c r="H132" s="7" t="s">
        <v>1026</v>
      </c>
      <c r="I132" s="7" t="s">
        <v>1027</v>
      </c>
      <c r="J132" s="7"/>
      <c r="K132" s="7" t="s">
        <v>46</v>
      </c>
      <c r="L132" s="7"/>
      <c r="M132" s="7" t="s">
        <v>1020</v>
      </c>
      <c r="N132" s="7" t="s">
        <v>49</v>
      </c>
      <c r="O132" s="7"/>
      <c r="P132" s="7"/>
      <c r="Q132" s="7" t="s">
        <v>1028</v>
      </c>
    </row>
    <row r="133" customFormat="false" ht="23.85" hidden="false" customHeight="false" outlineLevel="0" collapsed="false">
      <c r="A133" s="9" t="s">
        <v>1029</v>
      </c>
      <c r="B133" s="9" t="s">
        <v>1012</v>
      </c>
      <c r="C133" s="9" t="s">
        <v>1013</v>
      </c>
      <c r="D133" s="10" t="s">
        <v>1030</v>
      </c>
      <c r="E133" s="9" t="s">
        <v>1031</v>
      </c>
      <c r="F133" s="9" t="s">
        <v>1032</v>
      </c>
      <c r="G133" s="9" t="s">
        <v>1033</v>
      </c>
      <c r="H133" s="9" t="s">
        <v>1034</v>
      </c>
      <c r="I133" s="9" t="s">
        <v>1035</v>
      </c>
      <c r="J133" s="9"/>
      <c r="K133" s="9" t="s">
        <v>68</v>
      </c>
      <c r="L133" s="9"/>
      <c r="M133" s="9" t="s">
        <v>1020</v>
      </c>
      <c r="N133" s="9" t="s">
        <v>49</v>
      </c>
      <c r="O133" s="9"/>
      <c r="P133" s="9"/>
      <c r="Q133" s="9" t="s">
        <v>1036</v>
      </c>
    </row>
    <row r="134" customFormat="false" ht="23.85" hidden="false" customHeight="false" outlineLevel="0" collapsed="false">
      <c r="A134" s="7" t="s">
        <v>1037</v>
      </c>
      <c r="B134" s="7" t="s">
        <v>1012</v>
      </c>
      <c r="C134" s="7" t="s">
        <v>1013</v>
      </c>
      <c r="D134" s="8" t="s">
        <v>1038</v>
      </c>
      <c r="E134" s="7" t="s">
        <v>1039</v>
      </c>
      <c r="F134" s="7" t="s">
        <v>1040</v>
      </c>
      <c r="G134" s="7" t="s">
        <v>1041</v>
      </c>
      <c r="H134" s="7" t="s">
        <v>1042</v>
      </c>
      <c r="I134" s="7" t="s">
        <v>1043</v>
      </c>
      <c r="J134" s="7"/>
      <c r="K134" s="7" t="s">
        <v>46</v>
      </c>
      <c r="L134" s="7"/>
      <c r="M134" s="7" t="s">
        <v>1020</v>
      </c>
      <c r="N134" s="7" t="s">
        <v>49</v>
      </c>
      <c r="O134" s="7"/>
      <c r="P134" s="7"/>
      <c r="Q134" s="7" t="s">
        <v>1044</v>
      </c>
    </row>
    <row r="135" customFormat="false" ht="23.85" hidden="false" customHeight="false" outlineLevel="0" collapsed="false">
      <c r="A135" s="9" t="s">
        <v>1045</v>
      </c>
      <c r="B135" s="9" t="s">
        <v>1012</v>
      </c>
      <c r="C135" s="9" t="s">
        <v>1013</v>
      </c>
      <c r="D135" s="10" t="s">
        <v>1046</v>
      </c>
      <c r="E135" s="9" t="s">
        <v>1047</v>
      </c>
      <c r="F135" s="9" t="s">
        <v>1048</v>
      </c>
      <c r="G135" s="9" t="s">
        <v>1049</v>
      </c>
      <c r="H135" s="9" t="s">
        <v>1050</v>
      </c>
      <c r="I135" s="9" t="s">
        <v>1051</v>
      </c>
      <c r="J135" s="9"/>
      <c r="K135" s="9" t="s">
        <v>68</v>
      </c>
      <c r="L135" s="9"/>
      <c r="M135" s="9" t="s">
        <v>1020</v>
      </c>
      <c r="N135" s="9" t="s">
        <v>49</v>
      </c>
      <c r="O135" s="9"/>
      <c r="P135" s="9"/>
      <c r="Q135" s="9" t="s">
        <v>1052</v>
      </c>
    </row>
    <row r="136" customFormat="false" ht="23.85" hidden="false" customHeight="false" outlineLevel="0" collapsed="false">
      <c r="A136" s="7" t="s">
        <v>1053</v>
      </c>
      <c r="B136" s="7" t="s">
        <v>1012</v>
      </c>
      <c r="C136" s="7" t="s">
        <v>1013</v>
      </c>
      <c r="D136" s="8" t="s">
        <v>1054</v>
      </c>
      <c r="E136" s="7"/>
      <c r="F136" s="7" t="s">
        <v>1055</v>
      </c>
      <c r="G136" s="7" t="s">
        <v>1056</v>
      </c>
      <c r="H136" s="7" t="s">
        <v>1057</v>
      </c>
      <c r="I136" s="7" t="s">
        <v>1058</v>
      </c>
      <c r="J136" s="7"/>
      <c r="K136" s="7" t="s">
        <v>68</v>
      </c>
      <c r="L136" s="7"/>
      <c r="M136" s="7" t="s">
        <v>1020</v>
      </c>
      <c r="N136" s="7" t="s">
        <v>49</v>
      </c>
      <c r="O136" s="7"/>
      <c r="P136" s="7"/>
      <c r="Q136" s="7" t="s">
        <v>1059</v>
      </c>
    </row>
    <row r="137" customFormat="false" ht="23.85" hidden="false" customHeight="false" outlineLevel="0" collapsed="false">
      <c r="A137" s="9" t="s">
        <v>1060</v>
      </c>
      <c r="B137" s="9" t="s">
        <v>1012</v>
      </c>
      <c r="C137" s="9" t="s">
        <v>1013</v>
      </c>
      <c r="D137" s="10" t="s">
        <v>1061</v>
      </c>
      <c r="E137" s="9"/>
      <c r="F137" s="9" t="s">
        <v>1062</v>
      </c>
      <c r="G137" s="9" t="s">
        <v>1063</v>
      </c>
      <c r="H137" s="9" t="s">
        <v>1064</v>
      </c>
      <c r="I137" s="9" t="s">
        <v>1038</v>
      </c>
      <c r="J137" s="9"/>
      <c r="K137" s="9" t="s">
        <v>68</v>
      </c>
      <c r="L137" s="9"/>
      <c r="M137" s="9" t="s">
        <v>1020</v>
      </c>
      <c r="N137" s="9" t="s">
        <v>49</v>
      </c>
      <c r="O137" s="9"/>
      <c r="P137" s="9"/>
      <c r="Q137" s="9" t="s">
        <v>1065</v>
      </c>
    </row>
    <row r="138" customFormat="false" ht="23.85" hidden="false" customHeight="false" outlineLevel="0" collapsed="false">
      <c r="A138" s="7" t="s">
        <v>1066</v>
      </c>
      <c r="B138" s="7" t="s">
        <v>1012</v>
      </c>
      <c r="C138" s="7" t="s">
        <v>1013</v>
      </c>
      <c r="D138" s="8" t="s">
        <v>1067</v>
      </c>
      <c r="E138" s="7"/>
      <c r="F138" s="7" t="s">
        <v>1068</v>
      </c>
      <c r="G138" s="7" t="s">
        <v>1069</v>
      </c>
      <c r="H138" s="7" t="s">
        <v>1070</v>
      </c>
      <c r="I138" s="7" t="s">
        <v>1071</v>
      </c>
      <c r="J138" s="7"/>
      <c r="K138" s="7" t="s">
        <v>46</v>
      </c>
      <c r="L138" s="7"/>
      <c r="M138" s="7" t="s">
        <v>1020</v>
      </c>
      <c r="N138" s="7" t="s">
        <v>49</v>
      </c>
      <c r="O138" s="7"/>
      <c r="P138" s="7"/>
      <c r="Q138" s="7" t="s">
        <v>1072</v>
      </c>
    </row>
    <row r="139" customFormat="false" ht="23.85" hidden="false" customHeight="false" outlineLevel="0" collapsed="false">
      <c r="A139" s="9" t="s">
        <v>1073</v>
      </c>
      <c r="B139" s="9" t="s">
        <v>1012</v>
      </c>
      <c r="C139" s="9" t="s">
        <v>1013</v>
      </c>
      <c r="D139" s="10" t="s">
        <v>1074</v>
      </c>
      <c r="E139" s="9"/>
      <c r="F139" s="9" t="s">
        <v>1075</v>
      </c>
      <c r="G139" s="9" t="s">
        <v>1076</v>
      </c>
      <c r="H139" s="9" t="s">
        <v>1077</v>
      </c>
      <c r="I139" s="9" t="s">
        <v>1078</v>
      </c>
      <c r="J139" s="9"/>
      <c r="K139" s="9" t="s">
        <v>68</v>
      </c>
      <c r="L139" s="9"/>
      <c r="M139" s="9" t="s">
        <v>1020</v>
      </c>
      <c r="N139" s="9" t="s">
        <v>49</v>
      </c>
      <c r="O139" s="9"/>
      <c r="P139" s="9"/>
      <c r="Q139" s="9" t="s">
        <v>1079</v>
      </c>
    </row>
    <row r="140" customFormat="false" ht="23.85" hidden="false" customHeight="false" outlineLevel="0" collapsed="false">
      <c r="A140" s="7" t="s">
        <v>1080</v>
      </c>
      <c r="B140" s="7" t="s">
        <v>1012</v>
      </c>
      <c r="C140" s="7" t="s">
        <v>1013</v>
      </c>
      <c r="D140" s="8" t="s">
        <v>1081</v>
      </c>
      <c r="E140" s="7" t="s">
        <v>1082</v>
      </c>
      <c r="F140" s="7" t="s">
        <v>1083</v>
      </c>
      <c r="G140" s="7" t="s">
        <v>1084</v>
      </c>
      <c r="H140" s="7" t="s">
        <v>1085</v>
      </c>
      <c r="I140" s="7" t="s">
        <v>1086</v>
      </c>
      <c r="J140" s="7"/>
      <c r="K140" s="7" t="s">
        <v>68</v>
      </c>
      <c r="L140" s="7"/>
      <c r="M140" s="7" t="s">
        <v>1020</v>
      </c>
      <c r="N140" s="7" t="s">
        <v>49</v>
      </c>
      <c r="O140" s="7"/>
      <c r="P140" s="7"/>
      <c r="Q140" s="7" t="s">
        <v>1087</v>
      </c>
    </row>
    <row r="141" customFormat="false" ht="23.85" hidden="false" customHeight="false" outlineLevel="0" collapsed="false">
      <c r="A141" s="9" t="s">
        <v>1088</v>
      </c>
      <c r="B141" s="9" t="s">
        <v>1012</v>
      </c>
      <c r="C141" s="9" t="s">
        <v>1013</v>
      </c>
      <c r="D141" s="10" t="s">
        <v>1089</v>
      </c>
      <c r="E141" s="9"/>
      <c r="F141" s="9" t="s">
        <v>1090</v>
      </c>
      <c r="G141" s="9" t="s">
        <v>1091</v>
      </c>
      <c r="H141" s="9" t="s">
        <v>1092</v>
      </c>
      <c r="I141" s="9" t="s">
        <v>1093</v>
      </c>
      <c r="J141" s="9"/>
      <c r="K141" s="9" t="s">
        <v>68</v>
      </c>
      <c r="L141" s="9"/>
      <c r="M141" s="9" t="s">
        <v>1020</v>
      </c>
      <c r="N141" s="9" t="s">
        <v>49</v>
      </c>
      <c r="O141" s="9"/>
      <c r="P141" s="9"/>
      <c r="Q141" s="9" t="s">
        <v>1094</v>
      </c>
    </row>
    <row r="142" customFormat="false" ht="35.05" hidden="false" customHeight="false" outlineLevel="0" collapsed="false">
      <c r="A142" s="7" t="s">
        <v>1095</v>
      </c>
      <c r="B142" s="7" t="s">
        <v>1012</v>
      </c>
      <c r="C142" s="7" t="s">
        <v>1013</v>
      </c>
      <c r="D142" s="8" t="s">
        <v>1096</v>
      </c>
      <c r="E142" s="7"/>
      <c r="F142" s="7" t="s">
        <v>1097</v>
      </c>
      <c r="G142" s="7" t="s">
        <v>1098</v>
      </c>
      <c r="H142" s="7" t="s">
        <v>1099</v>
      </c>
      <c r="I142" s="7" t="s">
        <v>1100</v>
      </c>
      <c r="J142" s="7"/>
      <c r="K142" s="7" t="s">
        <v>68</v>
      </c>
      <c r="L142" s="7"/>
      <c r="M142" s="7" t="s">
        <v>1020</v>
      </c>
      <c r="N142" s="7" t="s">
        <v>49</v>
      </c>
      <c r="O142" s="7"/>
      <c r="P142" s="7"/>
      <c r="Q142" s="7" t="s">
        <v>1101</v>
      </c>
    </row>
    <row r="143" customFormat="false" ht="23.85" hidden="false" customHeight="false" outlineLevel="0" collapsed="false">
      <c r="A143" s="9" t="s">
        <v>1102</v>
      </c>
      <c r="B143" s="9" t="s">
        <v>1012</v>
      </c>
      <c r="C143" s="9" t="s">
        <v>1013</v>
      </c>
      <c r="D143" s="10" t="s">
        <v>1103</v>
      </c>
      <c r="E143" s="9"/>
      <c r="F143" s="9" t="s">
        <v>1104</v>
      </c>
      <c r="G143" s="9" t="s">
        <v>1105</v>
      </c>
      <c r="H143" s="9" t="s">
        <v>1106</v>
      </c>
      <c r="I143" s="9" t="s">
        <v>1107</v>
      </c>
      <c r="J143" s="9"/>
      <c r="K143" s="9" t="s">
        <v>46</v>
      </c>
      <c r="L143" s="9"/>
      <c r="M143" s="9" t="s">
        <v>1020</v>
      </c>
      <c r="N143" s="9" t="s">
        <v>49</v>
      </c>
      <c r="O143" s="9"/>
      <c r="P143" s="9"/>
      <c r="Q143" s="9" t="s">
        <v>1108</v>
      </c>
    </row>
    <row r="144" customFormat="false" ht="35.05" hidden="false" customHeight="false" outlineLevel="0" collapsed="false">
      <c r="A144" s="7" t="s">
        <v>1109</v>
      </c>
      <c r="B144" s="7" t="s">
        <v>1012</v>
      </c>
      <c r="C144" s="7" t="s">
        <v>1110</v>
      </c>
      <c r="D144" s="8" t="s">
        <v>76</v>
      </c>
      <c r="E144" s="7" t="s">
        <v>1111</v>
      </c>
      <c r="F144" s="7" t="s">
        <v>1112</v>
      </c>
      <c r="G144" s="7" t="s">
        <v>1113</v>
      </c>
      <c r="H144" s="7" t="s">
        <v>1114</v>
      </c>
      <c r="I144" s="7" t="s">
        <v>1115</v>
      </c>
      <c r="J144" s="7"/>
      <c r="K144" s="7" t="s">
        <v>46</v>
      </c>
      <c r="L144" s="7"/>
      <c r="M144" s="7" t="s">
        <v>1020</v>
      </c>
      <c r="N144" s="7" t="s">
        <v>49</v>
      </c>
      <c r="O144" s="7"/>
      <c r="P144" s="7"/>
      <c r="Q144" s="7" t="s">
        <v>1116</v>
      </c>
    </row>
    <row r="145" customFormat="false" ht="23.85" hidden="false" customHeight="false" outlineLevel="0" collapsed="false">
      <c r="A145" s="9" t="s">
        <v>1117</v>
      </c>
      <c r="B145" s="9" t="s">
        <v>1012</v>
      </c>
      <c r="C145" s="9" t="s">
        <v>1110</v>
      </c>
      <c r="D145" s="10" t="s">
        <v>1118</v>
      </c>
      <c r="E145" s="9"/>
      <c r="F145" s="9" t="s">
        <v>1119</v>
      </c>
      <c r="G145" s="9" t="s">
        <v>1120</v>
      </c>
      <c r="H145" s="9" t="s">
        <v>1121</v>
      </c>
      <c r="I145" s="9" t="s">
        <v>1122</v>
      </c>
      <c r="J145" s="9"/>
      <c r="K145" s="9" t="s">
        <v>46</v>
      </c>
      <c r="L145" s="9"/>
      <c r="M145" s="9" t="s">
        <v>1020</v>
      </c>
      <c r="N145" s="9" t="s">
        <v>49</v>
      </c>
      <c r="O145" s="9"/>
      <c r="P145" s="9"/>
      <c r="Q145" s="9" t="s">
        <v>1123</v>
      </c>
    </row>
    <row r="146" customFormat="false" ht="23.85" hidden="false" customHeight="false" outlineLevel="0" collapsed="false">
      <c r="A146" s="7" t="s">
        <v>1124</v>
      </c>
      <c r="B146" s="7" t="s">
        <v>1012</v>
      </c>
      <c r="C146" s="7" t="s">
        <v>1125</v>
      </c>
      <c r="D146" s="8" t="s">
        <v>1126</v>
      </c>
      <c r="E146" s="7"/>
      <c r="F146" s="7" t="s">
        <v>1127</v>
      </c>
      <c r="G146" s="7" t="s">
        <v>1128</v>
      </c>
      <c r="H146" s="7" t="s">
        <v>1129</v>
      </c>
      <c r="I146" s="7" t="s">
        <v>1130</v>
      </c>
      <c r="J146" s="7"/>
      <c r="K146" s="7" t="s">
        <v>68</v>
      </c>
      <c r="L146" s="7"/>
      <c r="M146" s="7" t="s">
        <v>1020</v>
      </c>
      <c r="N146" s="7" t="s">
        <v>49</v>
      </c>
      <c r="O146" s="7"/>
      <c r="P146" s="7"/>
      <c r="Q146" s="7" t="s">
        <v>1131</v>
      </c>
    </row>
    <row r="147" customFormat="false" ht="23.85" hidden="false" customHeight="false" outlineLevel="0" collapsed="false">
      <c r="A147" s="9" t="s">
        <v>1132</v>
      </c>
      <c r="B147" s="9" t="s">
        <v>1012</v>
      </c>
      <c r="C147" s="9" t="s">
        <v>1125</v>
      </c>
      <c r="D147" s="10" t="s">
        <v>1133</v>
      </c>
      <c r="E147" s="9"/>
      <c r="F147" s="9" t="s">
        <v>1134</v>
      </c>
      <c r="G147" s="9" t="s">
        <v>1135</v>
      </c>
      <c r="H147" s="9" t="s">
        <v>1136</v>
      </c>
      <c r="I147" s="9" t="s">
        <v>1126</v>
      </c>
      <c r="J147" s="9"/>
      <c r="K147" s="9" t="s">
        <v>99</v>
      </c>
      <c r="L147" s="9"/>
      <c r="M147" s="9" t="s">
        <v>1020</v>
      </c>
      <c r="N147" s="9" t="s">
        <v>49</v>
      </c>
      <c r="O147" s="9"/>
      <c r="P147" s="9"/>
      <c r="Q147" s="9" t="s">
        <v>1137</v>
      </c>
    </row>
    <row r="148" customFormat="false" ht="23.85" hidden="false" customHeight="false" outlineLevel="0" collapsed="false">
      <c r="A148" s="7" t="s">
        <v>1138</v>
      </c>
      <c r="B148" s="7" t="s">
        <v>1012</v>
      </c>
      <c r="C148" s="7" t="s">
        <v>1125</v>
      </c>
      <c r="D148" s="8" t="s">
        <v>1139</v>
      </c>
      <c r="E148" s="7"/>
      <c r="F148" s="7" t="s">
        <v>1140</v>
      </c>
      <c r="G148" s="7" t="s">
        <v>1141</v>
      </c>
      <c r="H148" s="7" t="s">
        <v>1142</v>
      </c>
      <c r="I148" s="7" t="s">
        <v>1126</v>
      </c>
      <c r="J148" s="7"/>
      <c r="K148" s="7" t="s">
        <v>99</v>
      </c>
      <c r="L148" s="7"/>
      <c r="M148" s="7" t="s">
        <v>1020</v>
      </c>
      <c r="N148" s="7" t="s">
        <v>49</v>
      </c>
      <c r="O148" s="7"/>
      <c r="P148" s="7"/>
      <c r="Q148" s="7" t="s">
        <v>1143</v>
      </c>
    </row>
    <row r="149" customFormat="false" ht="23.85" hidden="false" customHeight="false" outlineLevel="0" collapsed="false">
      <c r="A149" s="9" t="s">
        <v>1144</v>
      </c>
      <c r="B149" s="9" t="s">
        <v>1012</v>
      </c>
      <c r="C149" s="9" t="s">
        <v>1125</v>
      </c>
      <c r="D149" s="10" t="s">
        <v>1145</v>
      </c>
      <c r="E149" s="9"/>
      <c r="F149" s="9" t="s">
        <v>1146</v>
      </c>
      <c r="G149" s="9" t="s">
        <v>1147</v>
      </c>
      <c r="H149" s="9" t="s">
        <v>1148</v>
      </c>
      <c r="I149" s="9" t="s">
        <v>1126</v>
      </c>
      <c r="J149" s="9"/>
      <c r="K149" s="9" t="s">
        <v>68</v>
      </c>
      <c r="L149" s="9"/>
      <c r="M149" s="9" t="s">
        <v>1020</v>
      </c>
      <c r="N149" s="9" t="s">
        <v>49</v>
      </c>
      <c r="O149" s="9"/>
      <c r="P149" s="9"/>
      <c r="Q149" s="9" t="s">
        <v>1149</v>
      </c>
    </row>
    <row r="150" customFormat="false" ht="23.85" hidden="false" customHeight="false" outlineLevel="0" collapsed="false">
      <c r="A150" s="7" t="s">
        <v>1150</v>
      </c>
      <c r="B150" s="7" t="s">
        <v>1012</v>
      </c>
      <c r="C150" s="7" t="s">
        <v>1125</v>
      </c>
      <c r="D150" s="8" t="s">
        <v>1151</v>
      </c>
      <c r="E150" s="7"/>
      <c r="F150" s="7" t="s">
        <v>1152</v>
      </c>
      <c r="G150" s="7" t="s">
        <v>1153</v>
      </c>
      <c r="H150" s="7" t="s">
        <v>1154</v>
      </c>
      <c r="I150" s="7" t="s">
        <v>1155</v>
      </c>
      <c r="J150" s="7"/>
      <c r="K150" s="7" t="s">
        <v>99</v>
      </c>
      <c r="L150" s="7"/>
      <c r="M150" s="7" t="s">
        <v>1020</v>
      </c>
      <c r="N150" s="7" t="s">
        <v>49</v>
      </c>
      <c r="O150" s="7"/>
      <c r="P150" s="7"/>
      <c r="Q150" s="7" t="s">
        <v>1156</v>
      </c>
    </row>
    <row r="151" customFormat="false" ht="23.85" hidden="false" customHeight="false" outlineLevel="0" collapsed="false">
      <c r="A151" s="9" t="s">
        <v>1157</v>
      </c>
      <c r="B151" s="9" t="s">
        <v>1012</v>
      </c>
      <c r="C151" s="9" t="s">
        <v>1125</v>
      </c>
      <c r="D151" s="10" t="s">
        <v>1158</v>
      </c>
      <c r="E151" s="9"/>
      <c r="F151" s="9" t="s">
        <v>1159</v>
      </c>
      <c r="G151" s="9" t="s">
        <v>1160</v>
      </c>
      <c r="H151" s="9" t="s">
        <v>1161</v>
      </c>
      <c r="I151" s="9" t="s">
        <v>1162</v>
      </c>
      <c r="J151" s="9"/>
      <c r="K151" s="9" t="s">
        <v>99</v>
      </c>
      <c r="L151" s="9"/>
      <c r="M151" s="9" t="s">
        <v>1020</v>
      </c>
      <c r="N151" s="9" t="s">
        <v>49</v>
      </c>
      <c r="O151" s="9"/>
      <c r="P151" s="9"/>
      <c r="Q151" s="9" t="s">
        <v>1163</v>
      </c>
    </row>
    <row r="152" customFormat="false" ht="23.85" hidden="false" customHeight="false" outlineLevel="0" collapsed="false">
      <c r="A152" s="7" t="s">
        <v>1164</v>
      </c>
      <c r="B152" s="7" t="s">
        <v>1012</v>
      </c>
      <c r="C152" s="7" t="s">
        <v>1125</v>
      </c>
      <c r="D152" s="8" t="s">
        <v>1165</v>
      </c>
      <c r="E152" s="7"/>
      <c r="F152" s="7" t="s">
        <v>1166</v>
      </c>
      <c r="G152" s="7" t="s">
        <v>1167</v>
      </c>
      <c r="H152" s="7" t="s">
        <v>1168</v>
      </c>
      <c r="I152" s="7" t="s">
        <v>1169</v>
      </c>
      <c r="J152" s="7"/>
      <c r="K152" s="7" t="s">
        <v>68</v>
      </c>
      <c r="L152" s="7"/>
      <c r="M152" s="7" t="s">
        <v>1020</v>
      </c>
      <c r="N152" s="7" t="s">
        <v>49</v>
      </c>
      <c r="O152" s="7"/>
      <c r="P152" s="7"/>
      <c r="Q152" s="7" t="s">
        <v>1170</v>
      </c>
    </row>
    <row r="153" customFormat="false" ht="23.85" hidden="false" customHeight="false" outlineLevel="0" collapsed="false">
      <c r="A153" s="9" t="s">
        <v>1171</v>
      </c>
      <c r="B153" s="9" t="s">
        <v>1012</v>
      </c>
      <c r="C153" s="9" t="s">
        <v>1125</v>
      </c>
      <c r="D153" s="10" t="s">
        <v>1172</v>
      </c>
      <c r="E153" s="9" t="s">
        <v>1173</v>
      </c>
      <c r="F153" s="9" t="s">
        <v>1174</v>
      </c>
      <c r="G153" s="9" t="s">
        <v>1175</v>
      </c>
      <c r="H153" s="9" t="s">
        <v>1176</v>
      </c>
      <c r="I153" s="9" t="s">
        <v>1177</v>
      </c>
      <c r="J153" s="9"/>
      <c r="K153" s="9" t="s">
        <v>99</v>
      </c>
      <c r="L153" s="9"/>
      <c r="M153" s="9" t="s">
        <v>1020</v>
      </c>
      <c r="N153" s="9" t="s">
        <v>49</v>
      </c>
      <c r="O153" s="9"/>
      <c r="P153" s="9"/>
      <c r="Q153" s="9" t="s">
        <v>1178</v>
      </c>
    </row>
    <row r="154" customFormat="false" ht="35.05" hidden="false" customHeight="false" outlineLevel="0" collapsed="false">
      <c r="A154" s="7" t="s">
        <v>1179</v>
      </c>
      <c r="B154" s="7" t="s">
        <v>1180</v>
      </c>
      <c r="C154" s="7" t="s">
        <v>1181</v>
      </c>
      <c r="D154" s="8" t="s">
        <v>1182</v>
      </c>
      <c r="E154" s="7" t="s">
        <v>1183</v>
      </c>
      <c r="F154" s="7" t="s">
        <v>1184</v>
      </c>
      <c r="G154" s="7" t="s">
        <v>1185</v>
      </c>
      <c r="H154" s="7" t="s">
        <v>1186</v>
      </c>
      <c r="I154" s="7" t="s">
        <v>1187</v>
      </c>
      <c r="J154" s="7" t="s">
        <v>1188</v>
      </c>
      <c r="K154" s="7" t="s">
        <v>46</v>
      </c>
      <c r="L154" s="7"/>
      <c r="M154" s="7" t="s">
        <v>1189</v>
      </c>
      <c r="N154" s="7" t="s">
        <v>49</v>
      </c>
      <c r="O154" s="7"/>
      <c r="P154" s="7"/>
      <c r="Q154" s="7" t="s">
        <v>1190</v>
      </c>
    </row>
    <row r="155" customFormat="false" ht="23.85" hidden="false" customHeight="false" outlineLevel="0" collapsed="false">
      <c r="A155" s="9" t="s">
        <v>1191</v>
      </c>
      <c r="B155" s="9" t="s">
        <v>1180</v>
      </c>
      <c r="C155" s="9" t="s">
        <v>1181</v>
      </c>
      <c r="D155" s="10" t="s">
        <v>1192</v>
      </c>
      <c r="E155" s="9" t="s">
        <v>1193</v>
      </c>
      <c r="F155" s="9" t="s">
        <v>1194</v>
      </c>
      <c r="G155" s="9" t="s">
        <v>1195</v>
      </c>
      <c r="H155" s="9" t="s">
        <v>1196</v>
      </c>
      <c r="I155" s="9" t="s">
        <v>1197</v>
      </c>
      <c r="J155" s="9"/>
      <c r="K155" s="9" t="s">
        <v>46</v>
      </c>
      <c r="L155" s="9" t="s">
        <v>1198</v>
      </c>
      <c r="M155" s="9" t="s">
        <v>1189</v>
      </c>
      <c r="N155" s="9" t="s">
        <v>49</v>
      </c>
      <c r="O155" s="9"/>
      <c r="P155" s="9"/>
      <c r="Q155" s="9" t="s">
        <v>1199</v>
      </c>
    </row>
    <row r="156" customFormat="false" ht="23.85" hidden="false" customHeight="false" outlineLevel="0" collapsed="false">
      <c r="A156" s="7" t="s">
        <v>1200</v>
      </c>
      <c r="B156" s="7" t="s">
        <v>1180</v>
      </c>
      <c r="C156" s="7" t="s">
        <v>1181</v>
      </c>
      <c r="D156" s="8" t="s">
        <v>1201</v>
      </c>
      <c r="E156" s="7" t="s">
        <v>1202</v>
      </c>
      <c r="F156" s="7" t="s">
        <v>1203</v>
      </c>
      <c r="G156" s="7" t="s">
        <v>1204</v>
      </c>
      <c r="H156" s="7" t="s">
        <v>1205</v>
      </c>
      <c r="I156" s="7" t="s">
        <v>1206</v>
      </c>
      <c r="J156" s="7"/>
      <c r="K156" s="7" t="s">
        <v>46</v>
      </c>
      <c r="L156" s="7"/>
      <c r="M156" s="7" t="s">
        <v>1189</v>
      </c>
      <c r="N156" s="7" t="s">
        <v>49</v>
      </c>
      <c r="O156" s="7"/>
      <c r="P156" s="7"/>
      <c r="Q156" s="7" t="s">
        <v>1207</v>
      </c>
    </row>
    <row r="157" customFormat="false" ht="23.85" hidden="false" customHeight="false" outlineLevel="0" collapsed="false">
      <c r="A157" s="9" t="s">
        <v>1208</v>
      </c>
      <c r="B157" s="9" t="s">
        <v>1180</v>
      </c>
      <c r="C157" s="9" t="s">
        <v>1181</v>
      </c>
      <c r="D157" s="10" t="s">
        <v>1209</v>
      </c>
      <c r="E157" s="9" t="s">
        <v>1210</v>
      </c>
      <c r="F157" s="9" t="s">
        <v>1211</v>
      </c>
      <c r="G157" s="9" t="s">
        <v>1212</v>
      </c>
      <c r="H157" s="9" t="s">
        <v>1213</v>
      </c>
      <c r="I157" s="9" t="s">
        <v>1214</v>
      </c>
      <c r="J157" s="9"/>
      <c r="K157" s="9" t="s">
        <v>68</v>
      </c>
      <c r="L157" s="9"/>
      <c r="M157" s="9" t="s">
        <v>1189</v>
      </c>
      <c r="N157" s="9" t="s">
        <v>49</v>
      </c>
      <c r="O157" s="9"/>
      <c r="P157" s="9"/>
      <c r="Q157" s="9" t="s">
        <v>1215</v>
      </c>
    </row>
    <row r="158" customFormat="false" ht="23.85" hidden="false" customHeight="false" outlineLevel="0" collapsed="false">
      <c r="A158" s="7" t="s">
        <v>1216</v>
      </c>
      <c r="B158" s="7" t="s">
        <v>1180</v>
      </c>
      <c r="C158" s="7" t="s">
        <v>1181</v>
      </c>
      <c r="D158" s="8" t="s">
        <v>1217</v>
      </c>
      <c r="E158" s="7" t="s">
        <v>1218</v>
      </c>
      <c r="F158" s="7" t="s">
        <v>1219</v>
      </c>
      <c r="G158" s="7" t="s">
        <v>1220</v>
      </c>
      <c r="H158" s="7" t="s">
        <v>1221</v>
      </c>
      <c r="I158" s="7" t="s">
        <v>1222</v>
      </c>
      <c r="J158" s="7"/>
      <c r="K158" s="7" t="s">
        <v>46</v>
      </c>
      <c r="L158" s="7"/>
      <c r="M158" s="7" t="s">
        <v>1189</v>
      </c>
      <c r="N158" s="7" t="s">
        <v>49</v>
      </c>
      <c r="O158" s="7"/>
      <c r="P158" s="7"/>
      <c r="Q158" s="7" t="s">
        <v>1223</v>
      </c>
    </row>
    <row r="159" customFormat="false" ht="23.85" hidden="false" customHeight="false" outlineLevel="0" collapsed="false">
      <c r="A159" s="9" t="s">
        <v>1224</v>
      </c>
      <c r="B159" s="9" t="s">
        <v>1180</v>
      </c>
      <c r="C159" s="9" t="s">
        <v>1181</v>
      </c>
      <c r="D159" s="10" t="s">
        <v>1225</v>
      </c>
      <c r="E159" s="9"/>
      <c r="F159" s="9" t="s">
        <v>1226</v>
      </c>
      <c r="G159" s="9" t="s">
        <v>1220</v>
      </c>
      <c r="H159" s="9" t="s">
        <v>1227</v>
      </c>
      <c r="I159" s="9" t="s">
        <v>1228</v>
      </c>
      <c r="J159" s="9"/>
      <c r="K159" s="9" t="s">
        <v>68</v>
      </c>
      <c r="L159" s="9"/>
      <c r="M159" s="9" t="s">
        <v>1189</v>
      </c>
      <c r="N159" s="9" t="s">
        <v>49</v>
      </c>
      <c r="O159" s="9"/>
      <c r="P159" s="9"/>
      <c r="Q159" s="9" t="s">
        <v>1229</v>
      </c>
    </row>
    <row r="160" customFormat="false" ht="23.85" hidden="false" customHeight="false" outlineLevel="0" collapsed="false">
      <c r="A160" s="7" t="s">
        <v>1230</v>
      </c>
      <c r="B160" s="7" t="s">
        <v>1180</v>
      </c>
      <c r="C160" s="7" t="s">
        <v>1181</v>
      </c>
      <c r="D160" s="8" t="s">
        <v>1231</v>
      </c>
      <c r="E160" s="7"/>
      <c r="F160" s="7" t="s">
        <v>1232</v>
      </c>
      <c r="G160" s="7" t="s">
        <v>1233</v>
      </c>
      <c r="H160" s="7" t="s">
        <v>1234</v>
      </c>
      <c r="I160" s="7" t="s">
        <v>1235</v>
      </c>
      <c r="J160" s="7"/>
      <c r="K160" s="7" t="s">
        <v>68</v>
      </c>
      <c r="L160" s="7"/>
      <c r="M160" s="7" t="s">
        <v>1189</v>
      </c>
      <c r="N160" s="7" t="s">
        <v>49</v>
      </c>
      <c r="O160" s="7"/>
      <c r="P160" s="7"/>
      <c r="Q160" s="7" t="s">
        <v>1236</v>
      </c>
    </row>
    <row r="161" customFormat="false" ht="23.85" hidden="false" customHeight="false" outlineLevel="0" collapsed="false">
      <c r="A161" s="9" t="s">
        <v>1237</v>
      </c>
      <c r="B161" s="9" t="s">
        <v>1180</v>
      </c>
      <c r="C161" s="9" t="s">
        <v>1181</v>
      </c>
      <c r="D161" s="10" t="s">
        <v>1238</v>
      </c>
      <c r="E161" s="9"/>
      <c r="F161" s="9" t="s">
        <v>1239</v>
      </c>
      <c r="G161" s="9" t="s">
        <v>1240</v>
      </c>
      <c r="H161" s="9" t="s">
        <v>1241</v>
      </c>
      <c r="I161" s="9" t="s">
        <v>1242</v>
      </c>
      <c r="J161" s="9"/>
      <c r="K161" s="9" t="s">
        <v>68</v>
      </c>
      <c r="L161" s="9"/>
      <c r="M161" s="9" t="s">
        <v>1189</v>
      </c>
      <c r="N161" s="9" t="s">
        <v>49</v>
      </c>
      <c r="O161" s="9"/>
      <c r="P161" s="9"/>
      <c r="Q161" s="9" t="s">
        <v>1243</v>
      </c>
    </row>
    <row r="162" customFormat="false" ht="23.85" hidden="false" customHeight="false" outlineLevel="0" collapsed="false">
      <c r="A162" s="7" t="s">
        <v>1244</v>
      </c>
      <c r="B162" s="7" t="s">
        <v>1180</v>
      </c>
      <c r="C162" s="7" t="s">
        <v>1181</v>
      </c>
      <c r="D162" s="8" t="s">
        <v>1245</v>
      </c>
      <c r="E162" s="7"/>
      <c r="F162" s="7" t="s">
        <v>1246</v>
      </c>
      <c r="G162" s="7" t="s">
        <v>1247</v>
      </c>
      <c r="H162" s="7" t="s">
        <v>1248</v>
      </c>
      <c r="I162" s="7" t="s">
        <v>1249</v>
      </c>
      <c r="J162" s="7"/>
      <c r="K162" s="7" t="s">
        <v>99</v>
      </c>
      <c r="L162" s="7"/>
      <c r="M162" s="7" t="s">
        <v>1189</v>
      </c>
      <c r="N162" s="7" t="s">
        <v>49</v>
      </c>
      <c r="O162" s="7"/>
      <c r="P162" s="7"/>
      <c r="Q162" s="7" t="s">
        <v>1250</v>
      </c>
    </row>
    <row r="163" customFormat="false" ht="23.85" hidden="false" customHeight="false" outlineLevel="0" collapsed="false">
      <c r="A163" s="9" t="s">
        <v>1251</v>
      </c>
      <c r="B163" s="9" t="s">
        <v>1180</v>
      </c>
      <c r="C163" s="9" t="s">
        <v>1181</v>
      </c>
      <c r="D163" s="10" t="s">
        <v>1252</v>
      </c>
      <c r="E163" s="9"/>
      <c r="F163" s="9" t="s">
        <v>1253</v>
      </c>
      <c r="G163" s="9" t="s">
        <v>1254</v>
      </c>
      <c r="H163" s="9" t="s">
        <v>1255</v>
      </c>
      <c r="I163" s="9" t="s">
        <v>1256</v>
      </c>
      <c r="J163" s="9"/>
      <c r="K163" s="9" t="s">
        <v>68</v>
      </c>
      <c r="L163" s="9"/>
      <c r="M163" s="9" t="s">
        <v>1189</v>
      </c>
      <c r="N163" s="9" t="s">
        <v>49</v>
      </c>
      <c r="O163" s="9"/>
      <c r="P163" s="9"/>
      <c r="Q163" s="9" t="s">
        <v>1257</v>
      </c>
    </row>
    <row r="164" customFormat="false" ht="23.85" hidden="false" customHeight="false" outlineLevel="0" collapsed="false">
      <c r="A164" s="7" t="s">
        <v>1258</v>
      </c>
      <c r="B164" s="7" t="s">
        <v>1180</v>
      </c>
      <c r="C164" s="7" t="s">
        <v>1259</v>
      </c>
      <c r="D164" s="8" t="s">
        <v>1260</v>
      </c>
      <c r="E164" s="7"/>
      <c r="F164" s="7" t="s">
        <v>1261</v>
      </c>
      <c r="G164" s="7" t="s">
        <v>1262</v>
      </c>
      <c r="H164" s="7" t="s">
        <v>1263</v>
      </c>
      <c r="I164" s="7" t="s">
        <v>1264</v>
      </c>
      <c r="J164" s="7"/>
      <c r="K164" s="7" t="s">
        <v>68</v>
      </c>
      <c r="L164" s="7"/>
      <c r="M164" s="7" t="s">
        <v>1189</v>
      </c>
      <c r="N164" s="7" t="s">
        <v>49</v>
      </c>
      <c r="O164" s="7"/>
      <c r="P164" s="7"/>
      <c r="Q164" s="7" t="s">
        <v>1265</v>
      </c>
    </row>
    <row r="165" customFormat="false" ht="23.85" hidden="false" customHeight="false" outlineLevel="0" collapsed="false">
      <c r="A165" s="9" t="s">
        <v>1266</v>
      </c>
      <c r="B165" s="9" t="s">
        <v>1180</v>
      </c>
      <c r="C165" s="9" t="s">
        <v>1259</v>
      </c>
      <c r="D165" s="10" t="s">
        <v>1264</v>
      </c>
      <c r="E165" s="9"/>
      <c r="F165" s="9" t="s">
        <v>1267</v>
      </c>
      <c r="G165" s="9" t="s">
        <v>1262</v>
      </c>
      <c r="H165" s="9" t="s">
        <v>1268</v>
      </c>
      <c r="I165" s="9" t="s">
        <v>1269</v>
      </c>
      <c r="J165" s="9"/>
      <c r="K165" s="9" t="s">
        <v>68</v>
      </c>
      <c r="L165" s="9"/>
      <c r="M165" s="9" t="s">
        <v>1189</v>
      </c>
      <c r="N165" s="9" t="s">
        <v>49</v>
      </c>
      <c r="O165" s="9"/>
      <c r="P165" s="9"/>
      <c r="Q165" s="9" t="s">
        <v>1270</v>
      </c>
    </row>
    <row r="166" customFormat="false" ht="35.05" hidden="false" customHeight="false" outlineLevel="0" collapsed="false">
      <c r="A166" s="7" t="s">
        <v>1271</v>
      </c>
      <c r="B166" s="7" t="s">
        <v>1180</v>
      </c>
      <c r="C166" s="7" t="s">
        <v>1272</v>
      </c>
      <c r="D166" s="8" t="s">
        <v>1273</v>
      </c>
      <c r="E166" s="7"/>
      <c r="F166" s="7" t="s">
        <v>1274</v>
      </c>
      <c r="G166" s="7" t="s">
        <v>1275</v>
      </c>
      <c r="H166" s="7" t="s">
        <v>1276</v>
      </c>
      <c r="I166" s="7" t="s">
        <v>1277</v>
      </c>
      <c r="J166" s="7" t="s">
        <v>1278</v>
      </c>
      <c r="K166" s="7" t="s">
        <v>46</v>
      </c>
      <c r="L166" s="7"/>
      <c r="M166" s="7" t="s">
        <v>1189</v>
      </c>
      <c r="N166" s="7" t="s">
        <v>49</v>
      </c>
      <c r="O166" s="7"/>
      <c r="P166" s="7"/>
      <c r="Q166" s="7" t="s">
        <v>1279</v>
      </c>
    </row>
    <row r="167" customFormat="false" ht="23.85" hidden="false" customHeight="false" outlineLevel="0" collapsed="false">
      <c r="A167" s="9" t="s">
        <v>1280</v>
      </c>
      <c r="B167" s="9" t="s">
        <v>1180</v>
      </c>
      <c r="C167" s="9" t="s">
        <v>1272</v>
      </c>
      <c r="D167" s="10" t="s">
        <v>1281</v>
      </c>
      <c r="E167" s="9"/>
      <c r="F167" s="9" t="s">
        <v>1282</v>
      </c>
      <c r="G167" s="9" t="s">
        <v>1283</v>
      </c>
      <c r="H167" s="9" t="s">
        <v>1284</v>
      </c>
      <c r="I167" s="9" t="s">
        <v>1285</v>
      </c>
      <c r="J167" s="9"/>
      <c r="K167" s="9" t="s">
        <v>99</v>
      </c>
      <c r="L167" s="9"/>
      <c r="M167" s="9" t="s">
        <v>1189</v>
      </c>
      <c r="N167" s="9" t="s">
        <v>49</v>
      </c>
      <c r="O167" s="9"/>
      <c r="P167" s="9"/>
      <c r="Q167" s="9" t="s">
        <v>1286</v>
      </c>
    </row>
    <row r="168" customFormat="false" ht="23.85" hidden="false" customHeight="false" outlineLevel="0" collapsed="false">
      <c r="A168" s="7" t="s">
        <v>1287</v>
      </c>
      <c r="B168" s="7" t="s">
        <v>1180</v>
      </c>
      <c r="C168" s="7" t="s">
        <v>1272</v>
      </c>
      <c r="D168" s="8" t="s">
        <v>1288</v>
      </c>
      <c r="E168" s="7"/>
      <c r="F168" s="7" t="s">
        <v>1289</v>
      </c>
      <c r="G168" s="7" t="s">
        <v>1290</v>
      </c>
      <c r="H168" s="7" t="s">
        <v>1291</v>
      </c>
      <c r="I168" s="7" t="s">
        <v>1292</v>
      </c>
      <c r="J168" s="7"/>
      <c r="K168" s="7" t="s">
        <v>68</v>
      </c>
      <c r="L168" s="7"/>
      <c r="M168" s="7" t="s">
        <v>1189</v>
      </c>
      <c r="N168" s="7" t="s">
        <v>49</v>
      </c>
      <c r="O168" s="7"/>
      <c r="P168" s="7"/>
      <c r="Q168" s="7" t="s">
        <v>1293</v>
      </c>
    </row>
    <row r="169" customFormat="false" ht="23.85" hidden="false" customHeight="false" outlineLevel="0" collapsed="false">
      <c r="A169" s="9" t="s">
        <v>1294</v>
      </c>
      <c r="B169" s="9" t="s">
        <v>1180</v>
      </c>
      <c r="C169" s="9" t="s">
        <v>1272</v>
      </c>
      <c r="D169" s="10" t="s">
        <v>1295</v>
      </c>
      <c r="E169" s="9"/>
      <c r="F169" s="9" t="s">
        <v>1296</v>
      </c>
      <c r="G169" s="9" t="s">
        <v>1297</v>
      </c>
      <c r="H169" s="9" t="s">
        <v>1298</v>
      </c>
      <c r="I169" s="9" t="s">
        <v>1299</v>
      </c>
      <c r="J169" s="9"/>
      <c r="K169" s="9" t="s">
        <v>68</v>
      </c>
      <c r="L169" s="9"/>
      <c r="M169" s="9" t="s">
        <v>1189</v>
      </c>
      <c r="N169" s="9" t="s">
        <v>49</v>
      </c>
      <c r="O169" s="9"/>
      <c r="P169" s="9"/>
      <c r="Q169" s="9" t="s">
        <v>1300</v>
      </c>
    </row>
    <row r="170" customFormat="false" ht="23.85" hidden="false" customHeight="false" outlineLevel="0" collapsed="false">
      <c r="A170" s="7" t="s">
        <v>1301</v>
      </c>
      <c r="B170" s="7" t="s">
        <v>1180</v>
      </c>
      <c r="C170" s="7" t="s">
        <v>1272</v>
      </c>
      <c r="D170" s="8" t="s">
        <v>1302</v>
      </c>
      <c r="E170" s="7"/>
      <c r="F170" s="7" t="s">
        <v>1303</v>
      </c>
      <c r="G170" s="7" t="s">
        <v>1304</v>
      </c>
      <c r="H170" s="7" t="s">
        <v>1305</v>
      </c>
      <c r="I170" s="7" t="s">
        <v>1306</v>
      </c>
      <c r="J170" s="7"/>
      <c r="K170" s="7" t="s">
        <v>99</v>
      </c>
      <c r="L170" s="7"/>
      <c r="M170" s="7" t="s">
        <v>1189</v>
      </c>
      <c r="N170" s="7" t="s">
        <v>49</v>
      </c>
      <c r="O170" s="7"/>
      <c r="P170" s="7"/>
      <c r="Q170" s="7" t="s">
        <v>1307</v>
      </c>
    </row>
    <row r="171" customFormat="false" ht="23.85" hidden="false" customHeight="false" outlineLevel="0" collapsed="false">
      <c r="A171" s="9" t="s">
        <v>1308</v>
      </c>
      <c r="B171" s="9" t="s">
        <v>1309</v>
      </c>
      <c r="C171" s="9" t="s">
        <v>1310</v>
      </c>
      <c r="D171" s="10" t="s">
        <v>1311</v>
      </c>
      <c r="E171" s="9" t="s">
        <v>1312</v>
      </c>
      <c r="F171" s="9" t="s">
        <v>1313</v>
      </c>
      <c r="G171" s="9" t="s">
        <v>1314</v>
      </c>
      <c r="H171" s="9" t="s">
        <v>1315</v>
      </c>
      <c r="I171" s="9" t="s">
        <v>1316</v>
      </c>
      <c r="J171" s="9"/>
      <c r="K171" s="9" t="s">
        <v>68</v>
      </c>
      <c r="L171" s="9"/>
      <c r="M171" s="9" t="s">
        <v>1317</v>
      </c>
      <c r="N171" s="9" t="s">
        <v>49</v>
      </c>
      <c r="O171" s="9"/>
      <c r="P171" s="9"/>
      <c r="Q171" s="9" t="s">
        <v>1318</v>
      </c>
    </row>
    <row r="172" customFormat="false" ht="23.85" hidden="false" customHeight="false" outlineLevel="0" collapsed="false">
      <c r="A172" s="7" t="s">
        <v>1319</v>
      </c>
      <c r="B172" s="7" t="s">
        <v>1309</v>
      </c>
      <c r="C172" s="7" t="s">
        <v>1310</v>
      </c>
      <c r="D172" s="8" t="s">
        <v>1320</v>
      </c>
      <c r="E172" s="7"/>
      <c r="F172" s="7" t="s">
        <v>1321</v>
      </c>
      <c r="G172" s="7" t="s">
        <v>1322</v>
      </c>
      <c r="H172" s="7" t="s">
        <v>1323</v>
      </c>
      <c r="I172" s="7" t="s">
        <v>1311</v>
      </c>
      <c r="J172" s="7"/>
      <c r="K172" s="7" t="s">
        <v>99</v>
      </c>
      <c r="L172" s="7"/>
      <c r="M172" s="7" t="s">
        <v>1317</v>
      </c>
      <c r="N172" s="7" t="s">
        <v>49</v>
      </c>
      <c r="O172" s="7"/>
      <c r="P172" s="7"/>
      <c r="Q172" s="7" t="s">
        <v>1324</v>
      </c>
    </row>
    <row r="173" customFormat="false" ht="23.85" hidden="false" customHeight="false" outlineLevel="0" collapsed="false">
      <c r="A173" s="9" t="s">
        <v>1325</v>
      </c>
      <c r="B173" s="9" t="s">
        <v>1309</v>
      </c>
      <c r="C173" s="9" t="s">
        <v>1310</v>
      </c>
      <c r="D173" s="10" t="s">
        <v>1326</v>
      </c>
      <c r="E173" s="9"/>
      <c r="F173" s="9" t="s">
        <v>1327</v>
      </c>
      <c r="G173" s="9" t="s">
        <v>1314</v>
      </c>
      <c r="H173" s="9" t="s">
        <v>1328</v>
      </c>
      <c r="I173" s="9" t="s">
        <v>1329</v>
      </c>
      <c r="J173" s="9"/>
      <c r="K173" s="9" t="s">
        <v>68</v>
      </c>
      <c r="L173" s="9"/>
      <c r="M173" s="9" t="s">
        <v>1317</v>
      </c>
      <c r="N173" s="9" t="s">
        <v>49</v>
      </c>
      <c r="O173" s="9"/>
      <c r="P173" s="9"/>
      <c r="Q173" s="9" t="s">
        <v>1330</v>
      </c>
    </row>
    <row r="174" customFormat="false" ht="23.85" hidden="false" customHeight="false" outlineLevel="0" collapsed="false">
      <c r="A174" s="7" t="s">
        <v>1331</v>
      </c>
      <c r="B174" s="7" t="s">
        <v>1309</v>
      </c>
      <c r="C174" s="7" t="s">
        <v>1310</v>
      </c>
      <c r="D174" s="8" t="s">
        <v>1332</v>
      </c>
      <c r="E174" s="7"/>
      <c r="F174" s="7" t="s">
        <v>1333</v>
      </c>
      <c r="G174" s="7" t="s">
        <v>1334</v>
      </c>
      <c r="H174" s="7" t="s">
        <v>1335</v>
      </c>
      <c r="I174" s="7" t="s">
        <v>1311</v>
      </c>
      <c r="J174" s="7" t="s">
        <v>1336</v>
      </c>
      <c r="K174" s="7" t="s">
        <v>99</v>
      </c>
      <c r="L174" s="7"/>
      <c r="M174" s="7" t="s">
        <v>1317</v>
      </c>
      <c r="N174" s="7" t="s">
        <v>49</v>
      </c>
      <c r="O174" s="7"/>
      <c r="P174" s="7"/>
      <c r="Q174" s="7" t="s">
        <v>1337</v>
      </c>
    </row>
    <row r="175" customFormat="false" ht="23.85" hidden="false" customHeight="false" outlineLevel="0" collapsed="false">
      <c r="A175" s="9" t="s">
        <v>1338</v>
      </c>
      <c r="B175" s="9" t="s">
        <v>1309</v>
      </c>
      <c r="C175" s="9" t="s">
        <v>1310</v>
      </c>
      <c r="D175" s="10" t="s">
        <v>1339</v>
      </c>
      <c r="E175" s="9"/>
      <c r="F175" s="9" t="s">
        <v>1340</v>
      </c>
      <c r="G175" s="9" t="s">
        <v>1341</v>
      </c>
      <c r="H175" s="9" t="s">
        <v>1342</v>
      </c>
      <c r="I175" s="9" t="s">
        <v>1311</v>
      </c>
      <c r="J175" s="9"/>
      <c r="K175" s="9" t="s">
        <v>68</v>
      </c>
      <c r="L175" s="9"/>
      <c r="M175" s="9" t="s">
        <v>1317</v>
      </c>
      <c r="N175" s="9" t="s">
        <v>49</v>
      </c>
      <c r="O175" s="9"/>
      <c r="P175" s="9"/>
      <c r="Q175" s="9" t="s">
        <v>1343</v>
      </c>
    </row>
    <row r="176" customFormat="false" ht="23.85" hidden="false" customHeight="false" outlineLevel="0" collapsed="false">
      <c r="A176" s="7" t="s">
        <v>1344</v>
      </c>
      <c r="B176" s="7" t="s">
        <v>1309</v>
      </c>
      <c r="C176" s="7" t="s">
        <v>1310</v>
      </c>
      <c r="D176" s="8" t="s">
        <v>1345</v>
      </c>
      <c r="E176" s="7"/>
      <c r="F176" s="7" t="s">
        <v>1346</v>
      </c>
      <c r="G176" s="7" t="s">
        <v>1347</v>
      </c>
      <c r="H176" s="7" t="s">
        <v>1348</v>
      </c>
      <c r="I176" s="7" t="s">
        <v>102</v>
      </c>
      <c r="J176" s="7"/>
      <c r="K176" s="7" t="s">
        <v>68</v>
      </c>
      <c r="L176" s="7"/>
      <c r="M176" s="7" t="s">
        <v>1317</v>
      </c>
      <c r="N176" s="7" t="s">
        <v>49</v>
      </c>
      <c r="O176" s="7"/>
      <c r="P176" s="7"/>
      <c r="Q176" s="7" t="s">
        <v>1349</v>
      </c>
    </row>
    <row r="177" customFormat="false" ht="23.85" hidden="false" customHeight="false" outlineLevel="0" collapsed="false">
      <c r="A177" s="9" t="s">
        <v>1350</v>
      </c>
      <c r="B177" s="9" t="s">
        <v>1309</v>
      </c>
      <c r="C177" s="9" t="s">
        <v>1310</v>
      </c>
      <c r="D177" s="10" t="s">
        <v>1351</v>
      </c>
      <c r="E177" s="9"/>
      <c r="F177" s="9" t="s">
        <v>1352</v>
      </c>
      <c r="G177" s="9" t="s">
        <v>1353</v>
      </c>
      <c r="H177" s="9" t="s">
        <v>1354</v>
      </c>
      <c r="I177" s="9" t="s">
        <v>1355</v>
      </c>
      <c r="J177" s="9"/>
      <c r="K177" s="9" t="s">
        <v>68</v>
      </c>
      <c r="L177" s="9"/>
      <c r="M177" s="9" t="s">
        <v>1317</v>
      </c>
      <c r="N177" s="9" t="s">
        <v>49</v>
      </c>
      <c r="O177" s="9"/>
      <c r="P177" s="9"/>
      <c r="Q177" s="9" t="s">
        <v>1356</v>
      </c>
    </row>
    <row r="178" customFormat="false" ht="35.05" hidden="false" customHeight="false" outlineLevel="0" collapsed="false">
      <c r="A178" s="7" t="s">
        <v>1357</v>
      </c>
      <c r="B178" s="7" t="s">
        <v>1309</v>
      </c>
      <c r="C178" s="7" t="s">
        <v>1358</v>
      </c>
      <c r="D178" s="8" t="s">
        <v>1359</v>
      </c>
      <c r="E178" s="7"/>
      <c r="F178" s="7" t="s">
        <v>1360</v>
      </c>
      <c r="G178" s="7" t="s">
        <v>1361</v>
      </c>
      <c r="H178" s="7" t="s">
        <v>1362</v>
      </c>
      <c r="I178" s="7" t="s">
        <v>1363</v>
      </c>
      <c r="J178" s="7"/>
      <c r="K178" s="7" t="s">
        <v>46</v>
      </c>
      <c r="L178" s="7"/>
      <c r="M178" s="7" t="s">
        <v>1317</v>
      </c>
      <c r="N178" s="7" t="s">
        <v>49</v>
      </c>
      <c r="O178" s="7"/>
      <c r="P178" s="7"/>
      <c r="Q178" s="7" t="s">
        <v>1364</v>
      </c>
    </row>
    <row r="179" customFormat="false" ht="23.85" hidden="false" customHeight="false" outlineLevel="0" collapsed="false">
      <c r="A179" s="9" t="s">
        <v>1365</v>
      </c>
      <c r="B179" s="9" t="s">
        <v>1309</v>
      </c>
      <c r="C179" s="9" t="s">
        <v>1358</v>
      </c>
      <c r="D179" s="10" t="s">
        <v>1366</v>
      </c>
      <c r="E179" s="9"/>
      <c r="F179" s="9" t="s">
        <v>1367</v>
      </c>
      <c r="G179" s="9" t="s">
        <v>1368</v>
      </c>
      <c r="H179" s="9" t="s">
        <v>1369</v>
      </c>
      <c r="I179" s="9" t="s">
        <v>1370</v>
      </c>
      <c r="J179" s="9"/>
      <c r="K179" s="9" t="s">
        <v>68</v>
      </c>
      <c r="L179" s="9"/>
      <c r="M179" s="9" t="s">
        <v>1317</v>
      </c>
      <c r="N179" s="9" t="s">
        <v>49</v>
      </c>
      <c r="O179" s="9"/>
      <c r="P179" s="9"/>
      <c r="Q179" s="9" t="s">
        <v>1371</v>
      </c>
    </row>
    <row r="180" customFormat="false" ht="35.05" hidden="false" customHeight="false" outlineLevel="0" collapsed="false">
      <c r="A180" s="7" t="s">
        <v>1372</v>
      </c>
      <c r="B180" s="7" t="s">
        <v>1309</v>
      </c>
      <c r="C180" s="7" t="s">
        <v>1358</v>
      </c>
      <c r="D180" s="8" t="s">
        <v>1373</v>
      </c>
      <c r="E180" s="7"/>
      <c r="F180" s="7" t="s">
        <v>1374</v>
      </c>
      <c r="G180" s="7" t="s">
        <v>1375</v>
      </c>
      <c r="H180" s="7" t="s">
        <v>1376</v>
      </c>
      <c r="I180" s="7" t="s">
        <v>1377</v>
      </c>
      <c r="J180" s="7"/>
      <c r="K180" s="7" t="s">
        <v>68</v>
      </c>
      <c r="L180" s="7"/>
      <c r="M180" s="7" t="s">
        <v>1317</v>
      </c>
      <c r="N180" s="7" t="s">
        <v>49</v>
      </c>
      <c r="O180" s="7"/>
      <c r="P180" s="7"/>
      <c r="Q180" s="7" t="s">
        <v>1378</v>
      </c>
    </row>
    <row r="181" customFormat="false" ht="23.85" hidden="false" customHeight="false" outlineLevel="0" collapsed="false">
      <c r="A181" s="9" t="s">
        <v>1379</v>
      </c>
      <c r="B181" s="9" t="s">
        <v>1309</v>
      </c>
      <c r="C181" s="9" t="s">
        <v>1358</v>
      </c>
      <c r="D181" s="10" t="s">
        <v>1380</v>
      </c>
      <c r="E181" s="9"/>
      <c r="F181" s="9" t="s">
        <v>1381</v>
      </c>
      <c r="G181" s="9" t="s">
        <v>1382</v>
      </c>
      <c r="H181" s="9" t="s">
        <v>1383</v>
      </c>
      <c r="I181" s="9" t="s">
        <v>1384</v>
      </c>
      <c r="J181" s="9"/>
      <c r="K181" s="9" t="s">
        <v>68</v>
      </c>
      <c r="L181" s="9" t="s">
        <v>1385</v>
      </c>
      <c r="M181" s="9" t="s">
        <v>1317</v>
      </c>
      <c r="N181" s="9" t="s">
        <v>49</v>
      </c>
      <c r="O181" s="9"/>
      <c r="P181" s="9"/>
      <c r="Q181" s="9" t="s">
        <v>1386</v>
      </c>
    </row>
    <row r="182" customFormat="false" ht="35.05" hidden="false" customHeight="false" outlineLevel="0" collapsed="false">
      <c r="A182" s="7" t="s">
        <v>1387</v>
      </c>
      <c r="B182" s="7" t="s">
        <v>1309</v>
      </c>
      <c r="C182" s="7" t="s">
        <v>1358</v>
      </c>
      <c r="D182" s="8" t="s">
        <v>1388</v>
      </c>
      <c r="E182" s="7"/>
      <c r="F182" s="7" t="s">
        <v>1389</v>
      </c>
      <c r="G182" s="7" t="s">
        <v>1390</v>
      </c>
      <c r="H182" s="7" t="s">
        <v>1391</v>
      </c>
      <c r="I182" s="7" t="s">
        <v>1392</v>
      </c>
      <c r="J182" s="7"/>
      <c r="K182" s="7" t="s">
        <v>99</v>
      </c>
      <c r="L182" s="7" t="s">
        <v>1393</v>
      </c>
      <c r="M182" s="7" t="s">
        <v>1317</v>
      </c>
      <c r="N182" s="7" t="s">
        <v>49</v>
      </c>
      <c r="O182" s="7"/>
      <c r="P182" s="7"/>
      <c r="Q182" s="7" t="s">
        <v>1394</v>
      </c>
    </row>
    <row r="183" customFormat="false" ht="23.85" hidden="false" customHeight="false" outlineLevel="0" collapsed="false">
      <c r="A183" s="9" t="s">
        <v>1395</v>
      </c>
      <c r="B183" s="9" t="s">
        <v>1396</v>
      </c>
      <c r="C183" s="9" t="s">
        <v>1397</v>
      </c>
      <c r="D183" s="10" t="s">
        <v>1398</v>
      </c>
      <c r="E183" s="9" t="s">
        <v>1399</v>
      </c>
      <c r="F183" s="9" t="s">
        <v>1400</v>
      </c>
      <c r="G183" s="9" t="s">
        <v>1401</v>
      </c>
      <c r="H183" s="9" t="s">
        <v>1402</v>
      </c>
      <c r="I183" s="9" t="s">
        <v>1403</v>
      </c>
      <c r="J183" s="9" t="s">
        <v>1404</v>
      </c>
      <c r="K183" s="9" t="s">
        <v>46</v>
      </c>
      <c r="L183" s="9" t="s">
        <v>1405</v>
      </c>
      <c r="M183" s="9" t="s">
        <v>1406</v>
      </c>
      <c r="N183" s="9" t="s">
        <v>49</v>
      </c>
      <c r="O183" s="9"/>
      <c r="P183" s="9"/>
      <c r="Q183" s="9" t="s">
        <v>1407</v>
      </c>
    </row>
    <row r="184" customFormat="false" ht="23.85" hidden="false" customHeight="false" outlineLevel="0" collapsed="false">
      <c r="A184" s="7" t="s">
        <v>1408</v>
      </c>
      <c r="B184" s="7" t="s">
        <v>1396</v>
      </c>
      <c r="C184" s="7" t="s">
        <v>1397</v>
      </c>
      <c r="D184" s="8" t="s">
        <v>1409</v>
      </c>
      <c r="E184" s="7"/>
      <c r="F184" s="7" t="s">
        <v>1410</v>
      </c>
      <c r="G184" s="7" t="s">
        <v>1411</v>
      </c>
      <c r="H184" s="7" t="s">
        <v>1412</v>
      </c>
      <c r="I184" s="7" t="s">
        <v>1413</v>
      </c>
      <c r="J184" s="7"/>
      <c r="K184" s="7" t="s">
        <v>99</v>
      </c>
      <c r="L184" s="7"/>
      <c r="M184" s="7" t="s">
        <v>1406</v>
      </c>
      <c r="N184" s="7" t="s">
        <v>49</v>
      </c>
      <c r="O184" s="7"/>
      <c r="P184" s="7"/>
      <c r="Q184" s="7" t="s">
        <v>1414</v>
      </c>
    </row>
    <row r="185" customFormat="false" ht="23.85" hidden="false" customHeight="false" outlineLevel="0" collapsed="false">
      <c r="A185" s="9" t="s">
        <v>1415</v>
      </c>
      <c r="B185" s="9" t="s">
        <v>1396</v>
      </c>
      <c r="C185" s="9" t="s">
        <v>1397</v>
      </c>
      <c r="D185" s="10" t="s">
        <v>1416</v>
      </c>
      <c r="E185" s="9"/>
      <c r="F185" s="9" t="s">
        <v>1417</v>
      </c>
      <c r="G185" s="9" t="s">
        <v>1418</v>
      </c>
      <c r="H185" s="9" t="s">
        <v>1419</v>
      </c>
      <c r="I185" s="9" t="s">
        <v>1420</v>
      </c>
      <c r="J185" s="9"/>
      <c r="K185" s="9" t="s">
        <v>99</v>
      </c>
      <c r="L185" s="9"/>
      <c r="M185" s="9" t="s">
        <v>1406</v>
      </c>
      <c r="N185" s="9" t="s">
        <v>49</v>
      </c>
      <c r="O185" s="9"/>
      <c r="P185" s="9"/>
      <c r="Q185" s="9" t="s">
        <v>1421</v>
      </c>
    </row>
    <row r="186" customFormat="false" ht="23.85" hidden="false" customHeight="false" outlineLevel="0" collapsed="false">
      <c r="A186" s="7" t="s">
        <v>1422</v>
      </c>
      <c r="B186" s="7" t="s">
        <v>1396</v>
      </c>
      <c r="C186" s="7" t="s">
        <v>1423</v>
      </c>
      <c r="D186" s="8" t="s">
        <v>1424</v>
      </c>
      <c r="E186" s="7" t="s">
        <v>1425</v>
      </c>
      <c r="F186" s="7" t="s">
        <v>1426</v>
      </c>
      <c r="G186" s="7" t="s">
        <v>1427</v>
      </c>
      <c r="H186" s="7" t="s">
        <v>1428</v>
      </c>
      <c r="I186" s="7" t="s">
        <v>1429</v>
      </c>
      <c r="J186" s="7"/>
      <c r="K186" s="7" t="s">
        <v>68</v>
      </c>
      <c r="L186" s="7"/>
      <c r="M186" s="7" t="s">
        <v>1406</v>
      </c>
      <c r="N186" s="7" t="s">
        <v>49</v>
      </c>
      <c r="O186" s="7"/>
      <c r="P186" s="7"/>
      <c r="Q186" s="7" t="s">
        <v>1430</v>
      </c>
    </row>
    <row r="187" customFormat="false" ht="23.85" hidden="false" customHeight="false" outlineLevel="0" collapsed="false">
      <c r="A187" s="9" t="s">
        <v>1431</v>
      </c>
      <c r="B187" s="9" t="s">
        <v>1396</v>
      </c>
      <c r="C187" s="9" t="s">
        <v>1423</v>
      </c>
      <c r="D187" s="10" t="s">
        <v>1432</v>
      </c>
      <c r="E187" s="9"/>
      <c r="F187" s="9" t="s">
        <v>1433</v>
      </c>
      <c r="G187" s="9" t="s">
        <v>1427</v>
      </c>
      <c r="H187" s="9" t="s">
        <v>1434</v>
      </c>
      <c r="I187" s="9" t="s">
        <v>1435</v>
      </c>
      <c r="J187" s="9" t="s">
        <v>1436</v>
      </c>
      <c r="K187" s="9" t="s">
        <v>68</v>
      </c>
      <c r="L187" s="9"/>
      <c r="M187" s="9" t="s">
        <v>1406</v>
      </c>
      <c r="N187" s="9" t="s">
        <v>49</v>
      </c>
      <c r="O187" s="9"/>
      <c r="P187" s="9"/>
      <c r="Q187" s="9" t="s">
        <v>1437</v>
      </c>
    </row>
    <row r="188" customFormat="false" ht="23.85" hidden="false" customHeight="false" outlineLevel="0" collapsed="false">
      <c r="A188" s="7" t="s">
        <v>1438</v>
      </c>
      <c r="B188" s="7" t="s">
        <v>1396</v>
      </c>
      <c r="C188" s="7" t="s">
        <v>1423</v>
      </c>
      <c r="D188" s="8" t="s">
        <v>1439</v>
      </c>
      <c r="E188" s="7"/>
      <c r="F188" s="7" t="s">
        <v>1440</v>
      </c>
      <c r="G188" s="7" t="s">
        <v>1427</v>
      </c>
      <c r="H188" s="7" t="s">
        <v>1441</v>
      </c>
      <c r="I188" s="7" t="s">
        <v>1424</v>
      </c>
      <c r="J188" s="7"/>
      <c r="K188" s="7" t="s">
        <v>99</v>
      </c>
      <c r="L188" s="7"/>
      <c r="M188" s="7" t="s">
        <v>1406</v>
      </c>
      <c r="N188" s="7" t="s">
        <v>49</v>
      </c>
      <c r="O188" s="7"/>
      <c r="P188" s="7"/>
      <c r="Q188" s="7" t="s">
        <v>1442</v>
      </c>
    </row>
    <row r="189" customFormat="false" ht="35.05" hidden="false" customHeight="false" outlineLevel="0" collapsed="false">
      <c r="A189" s="9" t="s">
        <v>1443</v>
      </c>
      <c r="B189" s="9" t="s">
        <v>1396</v>
      </c>
      <c r="C189" s="9" t="s">
        <v>1423</v>
      </c>
      <c r="D189" s="10" t="s">
        <v>1444</v>
      </c>
      <c r="E189" s="9"/>
      <c r="F189" s="9" t="s">
        <v>1445</v>
      </c>
      <c r="G189" s="9" t="s">
        <v>1446</v>
      </c>
      <c r="H189" s="9" t="s">
        <v>1447</v>
      </c>
      <c r="I189" s="9" t="s">
        <v>1448</v>
      </c>
      <c r="J189" s="9" t="s">
        <v>1449</v>
      </c>
      <c r="K189" s="9" t="s">
        <v>99</v>
      </c>
      <c r="L189" s="9"/>
      <c r="M189" s="9" t="s">
        <v>1406</v>
      </c>
      <c r="N189" s="9" t="s">
        <v>49</v>
      </c>
      <c r="O189" s="9"/>
      <c r="P189" s="9"/>
      <c r="Q189" s="9" t="s">
        <v>1450</v>
      </c>
    </row>
    <row r="190" customFormat="false" ht="23.85" hidden="false" customHeight="false" outlineLevel="0" collapsed="false">
      <c r="A190" s="7" t="s">
        <v>1451</v>
      </c>
      <c r="B190" s="7" t="s">
        <v>1396</v>
      </c>
      <c r="C190" s="7" t="s">
        <v>1423</v>
      </c>
      <c r="D190" s="8" t="s">
        <v>1452</v>
      </c>
      <c r="E190" s="7"/>
      <c r="F190" s="7" t="s">
        <v>1453</v>
      </c>
      <c r="G190" s="7" t="s">
        <v>1446</v>
      </c>
      <c r="H190" s="7" t="s">
        <v>1454</v>
      </c>
      <c r="I190" s="7" t="s">
        <v>1455</v>
      </c>
      <c r="J190" s="7"/>
      <c r="K190" s="7" t="s">
        <v>99</v>
      </c>
      <c r="L190" s="7"/>
      <c r="M190" s="7" t="s">
        <v>1406</v>
      </c>
      <c r="N190" s="7" t="s">
        <v>49</v>
      </c>
      <c r="O190" s="7"/>
      <c r="P190" s="7"/>
      <c r="Q190" s="7" t="s">
        <v>1456</v>
      </c>
    </row>
    <row r="191" customFormat="false" ht="23.85" hidden="false" customHeight="false" outlineLevel="0" collapsed="false">
      <c r="A191" s="9" t="s">
        <v>1457</v>
      </c>
      <c r="B191" s="9" t="s">
        <v>1396</v>
      </c>
      <c r="C191" s="9" t="s">
        <v>1423</v>
      </c>
      <c r="D191" s="10" t="s">
        <v>1458</v>
      </c>
      <c r="E191" s="9"/>
      <c r="F191" s="9" t="s">
        <v>1459</v>
      </c>
      <c r="G191" s="9" t="s">
        <v>1460</v>
      </c>
      <c r="H191" s="9" t="s">
        <v>1461</v>
      </c>
      <c r="I191" s="9" t="s">
        <v>1462</v>
      </c>
      <c r="J191" s="9"/>
      <c r="K191" s="9" t="s">
        <v>99</v>
      </c>
      <c r="L191" s="9"/>
      <c r="M191" s="9" t="s">
        <v>1406</v>
      </c>
      <c r="N191" s="9" t="s">
        <v>49</v>
      </c>
      <c r="O191" s="9"/>
      <c r="P191" s="9"/>
      <c r="Q191" s="9" t="s">
        <v>1463</v>
      </c>
    </row>
    <row r="192" customFormat="false" ht="23.85" hidden="false" customHeight="false" outlineLevel="0" collapsed="false">
      <c r="A192" s="7" t="s">
        <v>1464</v>
      </c>
      <c r="B192" s="7" t="s">
        <v>1396</v>
      </c>
      <c r="C192" s="7" t="s">
        <v>1423</v>
      </c>
      <c r="D192" s="8" t="s">
        <v>1465</v>
      </c>
      <c r="E192" s="7"/>
      <c r="F192" s="7" t="s">
        <v>1466</v>
      </c>
      <c r="G192" s="7" t="s">
        <v>1467</v>
      </c>
      <c r="H192" s="7" t="s">
        <v>1468</v>
      </c>
      <c r="I192" s="7" t="s">
        <v>1469</v>
      </c>
      <c r="J192" s="7"/>
      <c r="K192" s="7" t="s">
        <v>99</v>
      </c>
      <c r="L192" s="7"/>
      <c r="M192" s="7" t="s">
        <v>1406</v>
      </c>
      <c r="N192" s="7" t="s">
        <v>49</v>
      </c>
      <c r="O192" s="7"/>
      <c r="P192" s="7"/>
      <c r="Q192" s="7" t="s">
        <v>1470</v>
      </c>
    </row>
    <row r="193" customFormat="false" ht="23.85" hidden="false" customHeight="false" outlineLevel="0" collapsed="false">
      <c r="A193" s="9" t="s">
        <v>1471</v>
      </c>
      <c r="B193" s="9" t="s">
        <v>1396</v>
      </c>
      <c r="C193" s="9" t="s">
        <v>1423</v>
      </c>
      <c r="D193" s="10" t="s">
        <v>1472</v>
      </c>
      <c r="E193" s="9"/>
      <c r="F193" s="9" t="s">
        <v>1473</v>
      </c>
      <c r="G193" s="9" t="s">
        <v>1474</v>
      </c>
      <c r="H193" s="9" t="s">
        <v>1475</v>
      </c>
      <c r="I193" s="9" t="s">
        <v>1476</v>
      </c>
      <c r="J193" s="9"/>
      <c r="K193" s="9" t="s">
        <v>99</v>
      </c>
      <c r="L193" s="9"/>
      <c r="M193" s="9" t="s">
        <v>1406</v>
      </c>
      <c r="N193" s="9" t="s">
        <v>49</v>
      </c>
      <c r="O193" s="9"/>
      <c r="P193" s="9"/>
      <c r="Q193" s="9" t="s">
        <v>1477</v>
      </c>
    </row>
    <row r="194" customFormat="false" ht="23.85" hidden="false" customHeight="false" outlineLevel="0" collapsed="false">
      <c r="A194" s="7" t="s">
        <v>1478</v>
      </c>
      <c r="B194" s="7" t="s">
        <v>1396</v>
      </c>
      <c r="C194" s="7" t="s">
        <v>1423</v>
      </c>
      <c r="D194" s="8" t="s">
        <v>1479</v>
      </c>
      <c r="E194" s="7"/>
      <c r="F194" s="7" t="s">
        <v>1480</v>
      </c>
      <c r="G194" s="7" t="s">
        <v>1481</v>
      </c>
      <c r="H194" s="7" t="s">
        <v>1482</v>
      </c>
      <c r="I194" s="7" t="s">
        <v>1483</v>
      </c>
      <c r="J194" s="7" t="s">
        <v>1484</v>
      </c>
      <c r="K194" s="7" t="s">
        <v>99</v>
      </c>
      <c r="L194" s="7"/>
      <c r="M194" s="7" t="s">
        <v>1406</v>
      </c>
      <c r="N194" s="7" t="s">
        <v>49</v>
      </c>
      <c r="O194" s="7"/>
      <c r="P194" s="7"/>
      <c r="Q194" s="7" t="s">
        <v>1485</v>
      </c>
    </row>
    <row r="195" customFormat="false" ht="23.85" hidden="false" customHeight="false" outlineLevel="0" collapsed="false">
      <c r="A195" s="9" t="s">
        <v>1486</v>
      </c>
      <c r="B195" s="9" t="s">
        <v>1396</v>
      </c>
      <c r="C195" s="9" t="s">
        <v>1487</v>
      </c>
      <c r="D195" s="10" t="s">
        <v>1488</v>
      </c>
      <c r="E195" s="9"/>
      <c r="F195" s="9" t="s">
        <v>1489</v>
      </c>
      <c r="G195" s="9" t="s">
        <v>1490</v>
      </c>
      <c r="H195" s="9" t="s">
        <v>1491</v>
      </c>
      <c r="I195" s="9" t="s">
        <v>1492</v>
      </c>
      <c r="J195" s="9"/>
      <c r="K195" s="9" t="s">
        <v>68</v>
      </c>
      <c r="L195" s="9"/>
      <c r="M195" s="9" t="s">
        <v>1406</v>
      </c>
      <c r="N195" s="9" t="s">
        <v>49</v>
      </c>
      <c r="O195" s="9"/>
      <c r="P195" s="9"/>
      <c r="Q195" s="9" t="s">
        <v>1493</v>
      </c>
    </row>
    <row r="196" customFormat="false" ht="23.85" hidden="false" customHeight="false" outlineLevel="0" collapsed="false">
      <c r="A196" s="7" t="s">
        <v>1494</v>
      </c>
      <c r="B196" s="7" t="s">
        <v>1396</v>
      </c>
      <c r="C196" s="7" t="s">
        <v>1487</v>
      </c>
      <c r="D196" s="8" t="s">
        <v>1495</v>
      </c>
      <c r="E196" s="7"/>
      <c r="F196" s="7" t="s">
        <v>1496</v>
      </c>
      <c r="G196" s="7" t="s">
        <v>1497</v>
      </c>
      <c r="H196" s="7" t="s">
        <v>1498</v>
      </c>
      <c r="I196" s="7" t="s">
        <v>1499</v>
      </c>
      <c r="J196" s="7"/>
      <c r="K196" s="7" t="s">
        <v>68</v>
      </c>
      <c r="L196" s="7"/>
      <c r="M196" s="7" t="s">
        <v>1406</v>
      </c>
      <c r="N196" s="7" t="s">
        <v>49</v>
      </c>
      <c r="O196" s="7"/>
      <c r="P196" s="7"/>
      <c r="Q196" s="7" t="s">
        <v>1500</v>
      </c>
    </row>
    <row r="197" customFormat="false" ht="23.85" hidden="false" customHeight="false" outlineLevel="0" collapsed="false">
      <c r="A197" s="9" t="s">
        <v>1501</v>
      </c>
      <c r="B197" s="9" t="s">
        <v>1396</v>
      </c>
      <c r="C197" s="9" t="s">
        <v>1487</v>
      </c>
      <c r="D197" s="10" t="s">
        <v>1502</v>
      </c>
      <c r="E197" s="9"/>
      <c r="F197" s="9" t="s">
        <v>1503</v>
      </c>
      <c r="G197" s="9" t="s">
        <v>1504</v>
      </c>
      <c r="H197" s="9" t="s">
        <v>1505</v>
      </c>
      <c r="I197" s="9" t="s">
        <v>1506</v>
      </c>
      <c r="J197" s="9"/>
      <c r="K197" s="9" t="s">
        <v>99</v>
      </c>
      <c r="L197" s="9"/>
      <c r="M197" s="9" t="s">
        <v>1406</v>
      </c>
      <c r="N197" s="9" t="s">
        <v>49</v>
      </c>
      <c r="O197" s="9"/>
      <c r="P197" s="9"/>
      <c r="Q197" s="9" t="s">
        <v>1507</v>
      </c>
    </row>
    <row r="198" customFormat="false" ht="23.85" hidden="false" customHeight="false" outlineLevel="0" collapsed="false">
      <c r="A198" s="7" t="s">
        <v>1508</v>
      </c>
      <c r="B198" s="7" t="s">
        <v>1396</v>
      </c>
      <c r="C198" s="7" t="s">
        <v>1487</v>
      </c>
      <c r="D198" s="8" t="s">
        <v>1509</v>
      </c>
      <c r="E198" s="7"/>
      <c r="F198" s="7" t="s">
        <v>1510</v>
      </c>
      <c r="G198" s="7" t="s">
        <v>1511</v>
      </c>
      <c r="H198" s="7" t="s">
        <v>1512</v>
      </c>
      <c r="I198" s="7" t="s">
        <v>1513</v>
      </c>
      <c r="J198" s="7"/>
      <c r="K198" s="7" t="s">
        <v>99</v>
      </c>
      <c r="L198" s="7"/>
      <c r="M198" s="7" t="s">
        <v>1406</v>
      </c>
      <c r="N198" s="7" t="s">
        <v>49</v>
      </c>
      <c r="O198" s="7"/>
      <c r="P198" s="7"/>
      <c r="Q198" s="7" t="s">
        <v>1514</v>
      </c>
    </row>
    <row r="199" customFormat="false" ht="23.85" hidden="false" customHeight="false" outlineLevel="0" collapsed="false">
      <c r="A199" s="9" t="s">
        <v>1515</v>
      </c>
      <c r="B199" s="9" t="s">
        <v>1396</v>
      </c>
      <c r="C199" s="9" t="s">
        <v>1487</v>
      </c>
      <c r="D199" s="10" t="s">
        <v>1516</v>
      </c>
      <c r="E199" s="9"/>
      <c r="F199" s="9" t="s">
        <v>1517</v>
      </c>
      <c r="G199" s="9" t="s">
        <v>1518</v>
      </c>
      <c r="H199" s="9" t="s">
        <v>1519</v>
      </c>
      <c r="I199" s="9" t="s">
        <v>1520</v>
      </c>
      <c r="J199" s="9"/>
      <c r="K199" s="9" t="s">
        <v>68</v>
      </c>
      <c r="L199" s="9"/>
      <c r="M199" s="9" t="s">
        <v>1406</v>
      </c>
      <c r="N199" s="9" t="s">
        <v>49</v>
      </c>
      <c r="O199" s="9"/>
      <c r="P199" s="9"/>
      <c r="Q199" s="9" t="s">
        <v>1521</v>
      </c>
    </row>
    <row r="200" customFormat="false" ht="35.05" hidden="false" customHeight="false" outlineLevel="0" collapsed="false">
      <c r="A200" s="7" t="s">
        <v>1522</v>
      </c>
      <c r="B200" s="7" t="s">
        <v>1396</v>
      </c>
      <c r="C200" s="7" t="s">
        <v>1487</v>
      </c>
      <c r="D200" s="8" t="s">
        <v>1523</v>
      </c>
      <c r="E200" s="7"/>
      <c r="F200" s="7" t="s">
        <v>1524</v>
      </c>
      <c r="G200" s="7" t="s">
        <v>1525</v>
      </c>
      <c r="H200" s="7" t="s">
        <v>1526</v>
      </c>
      <c r="I200" s="7" t="s">
        <v>1527</v>
      </c>
      <c r="J200" s="7" t="s">
        <v>1528</v>
      </c>
      <c r="K200" s="7" t="s">
        <v>99</v>
      </c>
      <c r="L200" s="7" t="s">
        <v>1529</v>
      </c>
      <c r="M200" s="7" t="s">
        <v>1406</v>
      </c>
      <c r="N200" s="7" t="s">
        <v>49</v>
      </c>
      <c r="O200" s="7"/>
      <c r="P200" s="7"/>
      <c r="Q200" s="7" t="s">
        <v>1530</v>
      </c>
    </row>
    <row r="201" customFormat="false" ht="23.85" hidden="false" customHeight="false" outlineLevel="0" collapsed="false">
      <c r="A201" s="9" t="s">
        <v>1531</v>
      </c>
      <c r="B201" s="9" t="s">
        <v>1396</v>
      </c>
      <c r="C201" s="9" t="s">
        <v>1487</v>
      </c>
      <c r="D201" s="10" t="s">
        <v>1532</v>
      </c>
      <c r="E201" s="9"/>
      <c r="F201" s="9" t="s">
        <v>1533</v>
      </c>
      <c r="G201" s="9" t="s">
        <v>1525</v>
      </c>
      <c r="H201" s="9" t="s">
        <v>1534</v>
      </c>
      <c r="I201" s="9" t="s">
        <v>1523</v>
      </c>
      <c r="J201" s="9"/>
      <c r="K201" s="9" t="s">
        <v>99</v>
      </c>
      <c r="L201" s="9"/>
      <c r="M201" s="9" t="s">
        <v>1406</v>
      </c>
      <c r="N201" s="9" t="s">
        <v>49</v>
      </c>
      <c r="O201" s="9"/>
      <c r="P201" s="9"/>
      <c r="Q201" s="9" t="s">
        <v>1535</v>
      </c>
    </row>
    <row r="202" customFormat="false" ht="23.85" hidden="false" customHeight="false" outlineLevel="0" collapsed="false">
      <c r="A202" s="7" t="s">
        <v>1536</v>
      </c>
      <c r="B202" s="7" t="s">
        <v>1396</v>
      </c>
      <c r="C202" s="7" t="s">
        <v>1487</v>
      </c>
      <c r="D202" s="8" t="s">
        <v>1537</v>
      </c>
      <c r="E202" s="7"/>
      <c r="F202" s="7" t="s">
        <v>1538</v>
      </c>
      <c r="G202" s="7" t="s">
        <v>1539</v>
      </c>
      <c r="H202" s="7" t="s">
        <v>1540</v>
      </c>
      <c r="I202" s="7" t="s">
        <v>1541</v>
      </c>
      <c r="J202" s="7"/>
      <c r="K202" s="7" t="s">
        <v>68</v>
      </c>
      <c r="L202" s="7"/>
      <c r="M202" s="7" t="s">
        <v>1406</v>
      </c>
      <c r="N202" s="7" t="s">
        <v>49</v>
      </c>
      <c r="O202" s="7"/>
      <c r="P202" s="7"/>
      <c r="Q202" s="7" t="s">
        <v>1542</v>
      </c>
    </row>
    <row r="203" customFormat="false" ht="23.85" hidden="false" customHeight="false" outlineLevel="0" collapsed="false">
      <c r="A203" s="9" t="s">
        <v>1543</v>
      </c>
      <c r="B203" s="9" t="s">
        <v>1396</v>
      </c>
      <c r="C203" s="9" t="s">
        <v>1544</v>
      </c>
      <c r="D203" s="10" t="s">
        <v>1483</v>
      </c>
      <c r="E203" s="9"/>
      <c r="F203" s="9" t="s">
        <v>1545</v>
      </c>
      <c r="G203" s="9" t="s">
        <v>1546</v>
      </c>
      <c r="H203" s="9" t="s">
        <v>1547</v>
      </c>
      <c r="I203" s="9" t="s">
        <v>1479</v>
      </c>
      <c r="J203" s="9"/>
      <c r="K203" s="9" t="s">
        <v>99</v>
      </c>
      <c r="L203" s="9" t="s">
        <v>1548</v>
      </c>
      <c r="M203" s="9" t="s">
        <v>1406</v>
      </c>
      <c r="N203" s="9" t="s">
        <v>49</v>
      </c>
      <c r="O203" s="9"/>
      <c r="P203" s="9"/>
      <c r="Q203" s="9" t="s">
        <v>1549</v>
      </c>
    </row>
    <row r="204" customFormat="false" ht="23.85" hidden="false" customHeight="false" outlineLevel="0" collapsed="false">
      <c r="A204" s="7" t="s">
        <v>1550</v>
      </c>
      <c r="B204" s="7" t="s">
        <v>1396</v>
      </c>
      <c r="C204" s="7" t="s">
        <v>1544</v>
      </c>
      <c r="D204" s="8" t="s">
        <v>1551</v>
      </c>
      <c r="E204" s="7"/>
      <c r="F204" s="7" t="s">
        <v>1552</v>
      </c>
      <c r="G204" s="7" t="s">
        <v>1553</v>
      </c>
      <c r="H204" s="7" t="s">
        <v>1554</v>
      </c>
      <c r="I204" s="7" t="s">
        <v>1555</v>
      </c>
      <c r="J204" s="7"/>
      <c r="K204" s="7" t="s">
        <v>99</v>
      </c>
      <c r="L204" s="7"/>
      <c r="M204" s="7" t="s">
        <v>1406</v>
      </c>
      <c r="N204" s="7" t="s">
        <v>49</v>
      </c>
      <c r="O204" s="7"/>
      <c r="P204" s="7"/>
      <c r="Q204" s="7" t="s">
        <v>1556</v>
      </c>
    </row>
    <row r="205" customFormat="false" ht="23.85" hidden="false" customHeight="false" outlineLevel="0" collapsed="false">
      <c r="A205" s="9" t="s">
        <v>1557</v>
      </c>
      <c r="B205" s="9" t="s">
        <v>1396</v>
      </c>
      <c r="C205" s="9" t="s">
        <v>1544</v>
      </c>
      <c r="D205" s="10" t="s">
        <v>1558</v>
      </c>
      <c r="E205" s="9"/>
      <c r="F205" s="9" t="s">
        <v>1559</v>
      </c>
      <c r="G205" s="9" t="s">
        <v>1560</v>
      </c>
      <c r="H205" s="9" t="s">
        <v>1561</v>
      </c>
      <c r="I205" s="9" t="s">
        <v>1562</v>
      </c>
      <c r="J205" s="9"/>
      <c r="K205" s="9" t="s">
        <v>46</v>
      </c>
      <c r="L205" s="9"/>
      <c r="M205" s="9" t="s">
        <v>1406</v>
      </c>
      <c r="N205" s="9" t="s">
        <v>49</v>
      </c>
      <c r="O205" s="9"/>
      <c r="P205" s="9"/>
      <c r="Q205" s="9" t="s">
        <v>1563</v>
      </c>
    </row>
    <row r="206" customFormat="false" ht="35.05" hidden="false" customHeight="false" outlineLevel="0" collapsed="false">
      <c r="A206" s="7" t="s">
        <v>1564</v>
      </c>
      <c r="B206" s="7" t="s">
        <v>1565</v>
      </c>
      <c r="C206" s="7" t="s">
        <v>1566</v>
      </c>
      <c r="D206" s="8" t="s">
        <v>1567</v>
      </c>
      <c r="E206" s="7" t="s">
        <v>1568</v>
      </c>
      <c r="F206" s="7" t="s">
        <v>1569</v>
      </c>
      <c r="G206" s="7" t="s">
        <v>1570</v>
      </c>
      <c r="H206" s="7" t="s">
        <v>1571</v>
      </c>
      <c r="I206" s="7" t="s">
        <v>1572</v>
      </c>
      <c r="J206" s="7"/>
      <c r="K206" s="7" t="s">
        <v>99</v>
      </c>
      <c r="L206" s="7"/>
      <c r="M206" s="7" t="s">
        <v>1573</v>
      </c>
      <c r="N206" s="7" t="s">
        <v>49</v>
      </c>
      <c r="O206" s="7"/>
      <c r="P206" s="7"/>
      <c r="Q206" s="7" t="s">
        <v>1574</v>
      </c>
    </row>
    <row r="207" customFormat="false" ht="35.05" hidden="false" customHeight="false" outlineLevel="0" collapsed="false">
      <c r="A207" s="9" t="s">
        <v>1575</v>
      </c>
      <c r="B207" s="9" t="s">
        <v>1565</v>
      </c>
      <c r="C207" s="9" t="s">
        <v>1566</v>
      </c>
      <c r="D207" s="10" t="s">
        <v>1576</v>
      </c>
      <c r="E207" s="9"/>
      <c r="F207" s="9" t="s">
        <v>1577</v>
      </c>
      <c r="G207" s="9" t="s">
        <v>1578</v>
      </c>
      <c r="H207" s="9" t="s">
        <v>1579</v>
      </c>
      <c r="I207" s="9" t="s">
        <v>1580</v>
      </c>
      <c r="J207" s="9" t="s">
        <v>1581</v>
      </c>
      <c r="K207" s="9" t="s">
        <v>99</v>
      </c>
      <c r="L207" s="9"/>
      <c r="M207" s="9" t="s">
        <v>1573</v>
      </c>
      <c r="N207" s="9" t="s">
        <v>49</v>
      </c>
      <c r="O207" s="9"/>
      <c r="P207" s="9"/>
      <c r="Q207" s="9" t="s">
        <v>1582</v>
      </c>
    </row>
    <row r="208" customFormat="false" ht="35.05" hidden="false" customHeight="false" outlineLevel="0" collapsed="false">
      <c r="A208" s="7" t="s">
        <v>1583</v>
      </c>
      <c r="B208" s="7" t="s">
        <v>1565</v>
      </c>
      <c r="C208" s="7" t="s">
        <v>1566</v>
      </c>
      <c r="D208" s="8" t="s">
        <v>1584</v>
      </c>
      <c r="E208" s="7"/>
      <c r="F208" s="7" t="s">
        <v>1585</v>
      </c>
      <c r="G208" s="7" t="s">
        <v>1586</v>
      </c>
      <c r="H208" s="7" t="s">
        <v>1587</v>
      </c>
      <c r="I208" s="7" t="s">
        <v>1588</v>
      </c>
      <c r="J208" s="7"/>
      <c r="K208" s="7" t="s">
        <v>99</v>
      </c>
      <c r="L208" s="7"/>
      <c r="M208" s="7" t="s">
        <v>1573</v>
      </c>
      <c r="N208" s="7" t="s">
        <v>49</v>
      </c>
      <c r="O208" s="7"/>
      <c r="P208" s="7"/>
      <c r="Q208" s="7" t="s">
        <v>1589</v>
      </c>
    </row>
    <row r="209" customFormat="false" ht="35.05" hidden="false" customHeight="false" outlineLevel="0" collapsed="false">
      <c r="A209" s="9" t="s">
        <v>1590</v>
      </c>
      <c r="B209" s="9" t="s">
        <v>1565</v>
      </c>
      <c r="C209" s="9" t="s">
        <v>1566</v>
      </c>
      <c r="D209" s="10" t="s">
        <v>1591</v>
      </c>
      <c r="E209" s="9"/>
      <c r="F209" s="9" t="s">
        <v>1592</v>
      </c>
      <c r="G209" s="9" t="s">
        <v>1593</v>
      </c>
      <c r="H209" s="9" t="s">
        <v>1594</v>
      </c>
      <c r="I209" s="9" t="s">
        <v>1595</v>
      </c>
      <c r="J209" s="9"/>
      <c r="K209" s="9" t="s">
        <v>99</v>
      </c>
      <c r="L209" s="9"/>
      <c r="M209" s="9" t="s">
        <v>1573</v>
      </c>
      <c r="N209" s="9" t="s">
        <v>49</v>
      </c>
      <c r="O209" s="9"/>
      <c r="P209" s="9"/>
      <c r="Q209" s="9" t="s">
        <v>1596</v>
      </c>
    </row>
    <row r="210" customFormat="false" ht="35.05" hidden="false" customHeight="false" outlineLevel="0" collapsed="false">
      <c r="A210" s="7" t="s">
        <v>1597</v>
      </c>
      <c r="B210" s="7" t="s">
        <v>1565</v>
      </c>
      <c r="C210" s="7" t="s">
        <v>1566</v>
      </c>
      <c r="D210" s="8" t="s">
        <v>1598</v>
      </c>
      <c r="E210" s="7"/>
      <c r="F210" s="7" t="s">
        <v>1599</v>
      </c>
      <c r="G210" s="7" t="s">
        <v>1600</v>
      </c>
      <c r="H210" s="7" t="s">
        <v>1601</v>
      </c>
      <c r="I210" s="7" t="s">
        <v>1602</v>
      </c>
      <c r="J210" s="7"/>
      <c r="K210" s="7" t="s">
        <v>99</v>
      </c>
      <c r="L210" s="7"/>
      <c r="M210" s="7" t="s">
        <v>1573</v>
      </c>
      <c r="N210" s="7" t="s">
        <v>49</v>
      </c>
      <c r="O210" s="7"/>
      <c r="P210" s="7"/>
      <c r="Q210" s="7" t="s">
        <v>1603</v>
      </c>
    </row>
    <row r="211" customFormat="false" ht="35.05" hidden="false" customHeight="false" outlineLevel="0" collapsed="false">
      <c r="A211" s="9" t="s">
        <v>1604</v>
      </c>
      <c r="B211" s="9" t="s">
        <v>1565</v>
      </c>
      <c r="C211" s="9" t="s">
        <v>1566</v>
      </c>
      <c r="D211" s="10" t="s">
        <v>1605</v>
      </c>
      <c r="E211" s="9"/>
      <c r="F211" s="9" t="s">
        <v>1606</v>
      </c>
      <c r="G211" s="9" t="s">
        <v>1607</v>
      </c>
      <c r="H211" s="9" t="s">
        <v>1608</v>
      </c>
      <c r="I211" s="9" t="s">
        <v>1609</v>
      </c>
      <c r="J211" s="9"/>
      <c r="K211" s="9" t="s">
        <v>99</v>
      </c>
      <c r="L211" s="9"/>
      <c r="M211" s="9" t="s">
        <v>1573</v>
      </c>
      <c r="N211" s="9" t="s">
        <v>49</v>
      </c>
      <c r="O211" s="9"/>
      <c r="P211" s="9"/>
      <c r="Q211" s="9" t="s">
        <v>1610</v>
      </c>
    </row>
    <row r="212" customFormat="false" ht="35.05" hidden="false" customHeight="false" outlineLevel="0" collapsed="false">
      <c r="A212" s="7" t="s">
        <v>1611</v>
      </c>
      <c r="B212" s="7" t="s">
        <v>1565</v>
      </c>
      <c r="C212" s="7" t="s">
        <v>1566</v>
      </c>
      <c r="D212" s="8" t="s">
        <v>1612</v>
      </c>
      <c r="E212" s="7"/>
      <c r="F212" s="7" t="s">
        <v>1613</v>
      </c>
      <c r="G212" s="7" t="s">
        <v>1614</v>
      </c>
      <c r="H212" s="7" t="s">
        <v>1615</v>
      </c>
      <c r="I212" s="7" t="s">
        <v>1605</v>
      </c>
      <c r="J212" s="7"/>
      <c r="K212" s="7" t="s">
        <v>99</v>
      </c>
      <c r="L212" s="7" t="s">
        <v>1616</v>
      </c>
      <c r="M212" s="7" t="s">
        <v>1573</v>
      </c>
      <c r="N212" s="7" t="s">
        <v>49</v>
      </c>
      <c r="O212" s="7"/>
      <c r="P212" s="7"/>
      <c r="Q212" s="7" t="s">
        <v>1617</v>
      </c>
    </row>
    <row r="213" customFormat="false" ht="35.05" hidden="false" customHeight="false" outlineLevel="0" collapsed="false">
      <c r="A213" s="9" t="s">
        <v>1618</v>
      </c>
      <c r="B213" s="9" t="s">
        <v>1565</v>
      </c>
      <c r="C213" s="9" t="s">
        <v>1566</v>
      </c>
      <c r="D213" s="10" t="s">
        <v>1619</v>
      </c>
      <c r="E213" s="9"/>
      <c r="F213" s="9" t="s">
        <v>1620</v>
      </c>
      <c r="G213" s="9" t="s">
        <v>1621</v>
      </c>
      <c r="H213" s="9" t="s">
        <v>1622</v>
      </c>
      <c r="I213" s="9" t="s">
        <v>1623</v>
      </c>
      <c r="J213" s="9"/>
      <c r="K213" s="9" t="s">
        <v>99</v>
      </c>
      <c r="L213" s="9"/>
      <c r="M213" s="9" t="s">
        <v>1573</v>
      </c>
      <c r="N213" s="9" t="s">
        <v>49</v>
      </c>
      <c r="O213" s="9"/>
      <c r="P213" s="9"/>
      <c r="Q213" s="9" t="s">
        <v>1624</v>
      </c>
    </row>
    <row r="214" customFormat="false" ht="35.05" hidden="false" customHeight="false" outlineLevel="0" collapsed="false">
      <c r="A214" s="7" t="s">
        <v>1625</v>
      </c>
      <c r="B214" s="7" t="s">
        <v>1565</v>
      </c>
      <c r="C214" s="7" t="s">
        <v>1566</v>
      </c>
      <c r="D214" s="8" t="s">
        <v>1626</v>
      </c>
      <c r="E214" s="7"/>
      <c r="F214" s="7" t="s">
        <v>1627</v>
      </c>
      <c r="G214" s="7" t="s">
        <v>1628</v>
      </c>
      <c r="H214" s="7" t="s">
        <v>1629</v>
      </c>
      <c r="I214" s="7" t="s">
        <v>1630</v>
      </c>
      <c r="J214" s="7"/>
      <c r="K214" s="7" t="s">
        <v>99</v>
      </c>
      <c r="L214" s="7"/>
      <c r="M214" s="7" t="s">
        <v>1573</v>
      </c>
      <c r="N214" s="7" t="s">
        <v>49</v>
      </c>
      <c r="O214" s="7"/>
      <c r="P214" s="7"/>
      <c r="Q214" s="7" t="s">
        <v>1631</v>
      </c>
    </row>
    <row r="215" customFormat="false" ht="35.05" hidden="false" customHeight="false" outlineLevel="0" collapsed="false">
      <c r="A215" s="9" t="s">
        <v>1632</v>
      </c>
      <c r="B215" s="9" t="s">
        <v>1565</v>
      </c>
      <c r="C215" s="9" t="s">
        <v>1566</v>
      </c>
      <c r="D215" s="10" t="s">
        <v>1633</v>
      </c>
      <c r="E215" s="9"/>
      <c r="F215" s="9" t="s">
        <v>1634</v>
      </c>
      <c r="G215" s="9" t="s">
        <v>1635</v>
      </c>
      <c r="H215" s="9" t="s">
        <v>1636</v>
      </c>
      <c r="I215" s="9" t="s">
        <v>1567</v>
      </c>
      <c r="J215" s="9"/>
      <c r="K215" s="9" t="s">
        <v>99</v>
      </c>
      <c r="L215" s="9"/>
      <c r="M215" s="9" t="s">
        <v>1573</v>
      </c>
      <c r="N215" s="9" t="s">
        <v>49</v>
      </c>
      <c r="O215" s="9"/>
      <c r="P215" s="9"/>
      <c r="Q215" s="9" t="s">
        <v>1637</v>
      </c>
    </row>
    <row r="216" customFormat="false" ht="35.05" hidden="false" customHeight="false" outlineLevel="0" collapsed="false">
      <c r="A216" s="7" t="s">
        <v>1638</v>
      </c>
      <c r="B216" s="7" t="s">
        <v>1565</v>
      </c>
      <c r="C216" s="7" t="s">
        <v>1639</v>
      </c>
      <c r="D216" s="8" t="s">
        <v>1640</v>
      </c>
      <c r="E216" s="7"/>
      <c r="F216" s="7" t="s">
        <v>1641</v>
      </c>
      <c r="G216" s="7" t="s">
        <v>1642</v>
      </c>
      <c r="H216" s="7" t="s">
        <v>1643</v>
      </c>
      <c r="I216" s="7" t="s">
        <v>1644</v>
      </c>
      <c r="J216" s="7" t="s">
        <v>1645</v>
      </c>
      <c r="K216" s="7" t="s">
        <v>68</v>
      </c>
      <c r="L216" s="7"/>
      <c r="M216" s="7" t="s">
        <v>1573</v>
      </c>
      <c r="N216" s="7" t="s">
        <v>49</v>
      </c>
      <c r="O216" s="7"/>
      <c r="P216" s="7"/>
      <c r="Q216" s="7" t="s">
        <v>1646</v>
      </c>
    </row>
    <row r="217" customFormat="false" ht="35.05" hidden="false" customHeight="false" outlineLevel="0" collapsed="false">
      <c r="A217" s="9" t="s">
        <v>1647</v>
      </c>
      <c r="B217" s="9" t="s">
        <v>1565</v>
      </c>
      <c r="C217" s="9" t="s">
        <v>1639</v>
      </c>
      <c r="D217" s="10" t="s">
        <v>1648</v>
      </c>
      <c r="E217" s="9"/>
      <c r="F217" s="9" t="s">
        <v>1649</v>
      </c>
      <c r="G217" s="9" t="s">
        <v>1650</v>
      </c>
      <c r="H217" s="9" t="s">
        <v>1651</v>
      </c>
      <c r="I217" s="9" t="s">
        <v>1652</v>
      </c>
      <c r="J217" s="9"/>
      <c r="K217" s="9" t="s">
        <v>46</v>
      </c>
      <c r="L217" s="9"/>
      <c r="M217" s="9" t="s">
        <v>1573</v>
      </c>
      <c r="N217" s="9" t="s">
        <v>49</v>
      </c>
      <c r="O217" s="9"/>
      <c r="P217" s="9"/>
      <c r="Q217" s="9" t="s">
        <v>1653</v>
      </c>
    </row>
    <row r="218" customFormat="false" ht="35.05" hidden="false" customHeight="false" outlineLevel="0" collapsed="false">
      <c r="A218" s="7" t="s">
        <v>1654</v>
      </c>
      <c r="B218" s="7" t="s">
        <v>1565</v>
      </c>
      <c r="C218" s="7" t="s">
        <v>1655</v>
      </c>
      <c r="D218" s="8" t="s">
        <v>1656</v>
      </c>
      <c r="E218" s="7"/>
      <c r="F218" s="7" t="s">
        <v>1657</v>
      </c>
      <c r="G218" s="7" t="s">
        <v>1658</v>
      </c>
      <c r="H218" s="7" t="s">
        <v>1659</v>
      </c>
      <c r="I218" s="7" t="s">
        <v>1660</v>
      </c>
      <c r="J218" s="7"/>
      <c r="K218" s="7" t="s">
        <v>68</v>
      </c>
      <c r="L218" s="7"/>
      <c r="M218" s="7" t="s">
        <v>1573</v>
      </c>
      <c r="N218" s="7" t="s">
        <v>49</v>
      </c>
      <c r="O218" s="7"/>
      <c r="P218" s="7"/>
      <c r="Q218" s="7" t="s">
        <v>1661</v>
      </c>
    </row>
    <row r="219" customFormat="false" ht="35.05" hidden="false" customHeight="false" outlineLevel="0" collapsed="false">
      <c r="A219" s="9" t="s">
        <v>1662</v>
      </c>
      <c r="B219" s="9" t="s">
        <v>1565</v>
      </c>
      <c r="C219" s="9" t="s">
        <v>1655</v>
      </c>
      <c r="D219" s="10" t="s">
        <v>1663</v>
      </c>
      <c r="E219" s="9"/>
      <c r="F219" s="9" t="s">
        <v>1664</v>
      </c>
      <c r="G219" s="9" t="s">
        <v>1658</v>
      </c>
      <c r="H219" s="9" t="s">
        <v>1665</v>
      </c>
      <c r="I219" s="9" t="s">
        <v>1656</v>
      </c>
      <c r="J219" s="9"/>
      <c r="K219" s="9" t="s">
        <v>68</v>
      </c>
      <c r="L219" s="9"/>
      <c r="M219" s="9" t="s">
        <v>1573</v>
      </c>
      <c r="N219" s="9" t="s">
        <v>49</v>
      </c>
      <c r="O219" s="9"/>
      <c r="P219" s="9"/>
      <c r="Q219" s="9" t="s">
        <v>1666</v>
      </c>
    </row>
    <row r="220" customFormat="false" ht="35.05" hidden="false" customHeight="false" outlineLevel="0" collapsed="false">
      <c r="A220" s="7" t="s">
        <v>1667</v>
      </c>
      <c r="B220" s="7" t="s">
        <v>1565</v>
      </c>
      <c r="C220" s="7" t="s">
        <v>1655</v>
      </c>
      <c r="D220" s="8" t="s">
        <v>1668</v>
      </c>
      <c r="E220" s="7"/>
      <c r="F220" s="7" t="s">
        <v>1669</v>
      </c>
      <c r="G220" s="7" t="s">
        <v>1670</v>
      </c>
      <c r="H220" s="7" t="s">
        <v>1671</v>
      </c>
      <c r="I220" s="7" t="s">
        <v>1672</v>
      </c>
      <c r="J220" s="7"/>
      <c r="K220" s="7" t="s">
        <v>46</v>
      </c>
      <c r="L220" s="7"/>
      <c r="M220" s="7" t="s">
        <v>1573</v>
      </c>
      <c r="N220" s="7" t="s">
        <v>49</v>
      </c>
      <c r="O220" s="7"/>
      <c r="P220" s="7"/>
      <c r="Q220" s="7" t="s">
        <v>1673</v>
      </c>
    </row>
    <row r="221" customFormat="false" ht="35.05" hidden="false" customHeight="false" outlineLevel="0" collapsed="false">
      <c r="A221" s="9" t="s">
        <v>1674</v>
      </c>
      <c r="B221" s="9" t="s">
        <v>1565</v>
      </c>
      <c r="C221" s="9" t="s">
        <v>1655</v>
      </c>
      <c r="D221" s="10" t="s">
        <v>1675</v>
      </c>
      <c r="E221" s="9"/>
      <c r="F221" s="9" t="s">
        <v>1676</v>
      </c>
      <c r="G221" s="9" t="s">
        <v>1677</v>
      </c>
      <c r="H221" s="9" t="s">
        <v>1678</v>
      </c>
      <c r="I221" s="9" t="s">
        <v>1679</v>
      </c>
      <c r="J221" s="9"/>
      <c r="K221" s="9" t="s">
        <v>68</v>
      </c>
      <c r="L221" s="9"/>
      <c r="M221" s="9" t="s">
        <v>1573</v>
      </c>
      <c r="N221" s="9" t="s">
        <v>49</v>
      </c>
      <c r="O221" s="9"/>
      <c r="P221" s="9"/>
      <c r="Q221" s="9" t="s">
        <v>1680</v>
      </c>
    </row>
    <row r="222" customFormat="false" ht="35.05" hidden="false" customHeight="false" outlineLevel="0" collapsed="false">
      <c r="A222" s="7" t="s">
        <v>1681</v>
      </c>
      <c r="B222" s="7" t="s">
        <v>1565</v>
      </c>
      <c r="C222" s="7" t="s">
        <v>1655</v>
      </c>
      <c r="D222" s="8" t="s">
        <v>1682</v>
      </c>
      <c r="E222" s="7"/>
      <c r="F222" s="7" t="s">
        <v>1683</v>
      </c>
      <c r="G222" s="7" t="s">
        <v>1684</v>
      </c>
      <c r="H222" s="7" t="s">
        <v>1685</v>
      </c>
      <c r="I222" s="7" t="s">
        <v>1686</v>
      </c>
      <c r="J222" s="7"/>
      <c r="K222" s="7" t="s">
        <v>46</v>
      </c>
      <c r="L222" s="7"/>
      <c r="M222" s="7" t="s">
        <v>1573</v>
      </c>
      <c r="N222" s="7" t="s">
        <v>49</v>
      </c>
      <c r="O222" s="7"/>
      <c r="P222" s="7"/>
      <c r="Q222" s="7" t="s">
        <v>1687</v>
      </c>
    </row>
    <row r="223" customFormat="false" ht="35.05" hidden="false" customHeight="false" outlineLevel="0" collapsed="false">
      <c r="A223" s="9" t="s">
        <v>1688</v>
      </c>
      <c r="B223" s="9" t="s">
        <v>1565</v>
      </c>
      <c r="C223" s="9" t="s">
        <v>1655</v>
      </c>
      <c r="D223" s="10" t="s">
        <v>1689</v>
      </c>
      <c r="E223" s="9"/>
      <c r="F223" s="9" t="s">
        <v>1690</v>
      </c>
      <c r="G223" s="9" t="s">
        <v>1691</v>
      </c>
      <c r="H223" s="9" t="s">
        <v>1692</v>
      </c>
      <c r="I223" s="9" t="s">
        <v>1693</v>
      </c>
      <c r="J223" s="9"/>
      <c r="K223" s="9" t="s">
        <v>99</v>
      </c>
      <c r="L223" s="9"/>
      <c r="M223" s="9" t="s">
        <v>1573</v>
      </c>
      <c r="N223" s="9" t="s">
        <v>49</v>
      </c>
      <c r="O223" s="9"/>
      <c r="P223" s="9"/>
      <c r="Q223" s="9" t="s">
        <v>1694</v>
      </c>
    </row>
    <row r="224" customFormat="false" ht="35.05" hidden="false" customHeight="false" outlineLevel="0" collapsed="false">
      <c r="A224" s="7" t="s">
        <v>1695</v>
      </c>
      <c r="B224" s="7" t="s">
        <v>1696</v>
      </c>
      <c r="C224" s="7" t="s">
        <v>1697</v>
      </c>
      <c r="D224" s="8" t="s">
        <v>1698</v>
      </c>
      <c r="E224" s="7" t="s">
        <v>1699</v>
      </c>
      <c r="F224" s="7" t="s">
        <v>1700</v>
      </c>
      <c r="G224" s="7" t="s">
        <v>1701</v>
      </c>
      <c r="H224" s="7" t="s">
        <v>1702</v>
      </c>
      <c r="I224" s="7" t="s">
        <v>1703</v>
      </c>
      <c r="J224" s="7" t="s">
        <v>1704</v>
      </c>
      <c r="K224" s="7" t="s">
        <v>46</v>
      </c>
      <c r="L224" s="7" t="s">
        <v>1705</v>
      </c>
      <c r="M224" s="7" t="s">
        <v>1706</v>
      </c>
      <c r="N224" s="7" t="s">
        <v>49</v>
      </c>
      <c r="O224" s="7"/>
      <c r="P224" s="7"/>
      <c r="Q224" s="7" t="s">
        <v>1707</v>
      </c>
    </row>
    <row r="225" customFormat="false" ht="57.45" hidden="false" customHeight="false" outlineLevel="0" collapsed="false">
      <c r="A225" s="9" t="s">
        <v>1708</v>
      </c>
      <c r="B225" s="9" t="s">
        <v>1696</v>
      </c>
      <c r="C225" s="9" t="s">
        <v>1697</v>
      </c>
      <c r="D225" s="10" t="s">
        <v>1709</v>
      </c>
      <c r="E225" s="9" t="s">
        <v>1710</v>
      </c>
      <c r="F225" s="9" t="s">
        <v>1711</v>
      </c>
      <c r="G225" s="9" t="s">
        <v>1712</v>
      </c>
      <c r="H225" s="9" t="s">
        <v>1713</v>
      </c>
      <c r="I225" s="9" t="s">
        <v>1714</v>
      </c>
      <c r="J225" s="9"/>
      <c r="K225" s="9" t="s">
        <v>46</v>
      </c>
      <c r="L225" s="9" t="s">
        <v>1715</v>
      </c>
      <c r="M225" s="9" t="s">
        <v>1706</v>
      </c>
      <c r="N225" s="9" t="s">
        <v>49</v>
      </c>
      <c r="O225" s="9"/>
      <c r="P225" s="9"/>
      <c r="Q225" s="9" t="s">
        <v>1716</v>
      </c>
    </row>
    <row r="226" customFormat="false" ht="23.85" hidden="false" customHeight="false" outlineLevel="0" collapsed="false">
      <c r="A226" s="7" t="s">
        <v>1717</v>
      </c>
      <c r="B226" s="7" t="s">
        <v>1696</v>
      </c>
      <c r="C226" s="7" t="s">
        <v>1697</v>
      </c>
      <c r="D226" s="8" t="s">
        <v>1718</v>
      </c>
      <c r="E226" s="7" t="s">
        <v>1719</v>
      </c>
      <c r="F226" s="7" t="s">
        <v>1720</v>
      </c>
      <c r="G226" s="7" t="s">
        <v>1721</v>
      </c>
      <c r="H226" s="7" t="s">
        <v>1722</v>
      </c>
      <c r="I226" s="7" t="s">
        <v>1723</v>
      </c>
      <c r="J226" s="7"/>
      <c r="K226" s="7" t="s">
        <v>46</v>
      </c>
      <c r="L226" s="7"/>
      <c r="M226" s="7" t="s">
        <v>1706</v>
      </c>
      <c r="N226" s="7" t="s">
        <v>49</v>
      </c>
      <c r="O226" s="7"/>
      <c r="P226" s="7"/>
      <c r="Q226" s="7" t="s">
        <v>1724</v>
      </c>
    </row>
    <row r="227" customFormat="false" ht="35.05" hidden="false" customHeight="false" outlineLevel="0" collapsed="false">
      <c r="A227" s="9" t="s">
        <v>1725</v>
      </c>
      <c r="B227" s="9" t="s">
        <v>1696</v>
      </c>
      <c r="C227" s="9" t="s">
        <v>1697</v>
      </c>
      <c r="D227" s="10" t="s">
        <v>1726</v>
      </c>
      <c r="E227" s="9"/>
      <c r="F227" s="9" t="s">
        <v>1727</v>
      </c>
      <c r="G227" s="9" t="s">
        <v>1728</v>
      </c>
      <c r="H227" s="9" t="s">
        <v>1729</v>
      </c>
      <c r="I227" s="9" t="s">
        <v>1730</v>
      </c>
      <c r="J227" s="9" t="s">
        <v>1731</v>
      </c>
      <c r="K227" s="9" t="s">
        <v>68</v>
      </c>
      <c r="L227" s="9"/>
      <c r="M227" s="9" t="s">
        <v>1706</v>
      </c>
      <c r="N227" s="9" t="s">
        <v>49</v>
      </c>
      <c r="O227" s="9"/>
      <c r="P227" s="9"/>
      <c r="Q227" s="9" t="s">
        <v>1732</v>
      </c>
    </row>
    <row r="228" customFormat="false" ht="23.85" hidden="false" customHeight="false" outlineLevel="0" collapsed="false">
      <c r="A228" s="7" t="s">
        <v>1733</v>
      </c>
      <c r="B228" s="7" t="s">
        <v>1696</v>
      </c>
      <c r="C228" s="7" t="s">
        <v>1734</v>
      </c>
      <c r="D228" s="8" t="s">
        <v>1735</v>
      </c>
      <c r="E228" s="7"/>
      <c r="F228" s="7" t="s">
        <v>1736</v>
      </c>
      <c r="G228" s="7" t="s">
        <v>1737</v>
      </c>
      <c r="H228" s="7" t="s">
        <v>1738</v>
      </c>
      <c r="I228" s="7" t="s">
        <v>1739</v>
      </c>
      <c r="J228" s="7"/>
      <c r="K228" s="7" t="s">
        <v>68</v>
      </c>
      <c r="L228" s="7"/>
      <c r="M228" s="7" t="s">
        <v>1706</v>
      </c>
      <c r="N228" s="7" t="s">
        <v>49</v>
      </c>
      <c r="O228" s="7"/>
      <c r="P228" s="7"/>
      <c r="Q228" s="7" t="s">
        <v>1740</v>
      </c>
    </row>
    <row r="229" customFormat="false" ht="35.05" hidden="false" customHeight="false" outlineLevel="0" collapsed="false">
      <c r="A229" s="9" t="s">
        <v>1741</v>
      </c>
      <c r="B229" s="9" t="s">
        <v>1696</v>
      </c>
      <c r="C229" s="9" t="s">
        <v>1734</v>
      </c>
      <c r="D229" s="10" t="s">
        <v>1742</v>
      </c>
      <c r="E229" s="9"/>
      <c r="F229" s="9" t="s">
        <v>1743</v>
      </c>
      <c r="G229" s="9" t="s">
        <v>1744</v>
      </c>
      <c r="H229" s="9" t="s">
        <v>1745</v>
      </c>
      <c r="I229" s="9" t="s">
        <v>1746</v>
      </c>
      <c r="J229" s="9"/>
      <c r="K229" s="9" t="s">
        <v>68</v>
      </c>
      <c r="L229" s="9" t="s">
        <v>1747</v>
      </c>
      <c r="M229" s="9" t="s">
        <v>1706</v>
      </c>
      <c r="N229" s="9" t="s">
        <v>49</v>
      </c>
      <c r="O229" s="9"/>
      <c r="P229" s="9"/>
      <c r="Q229" s="9" t="s">
        <v>1748</v>
      </c>
    </row>
    <row r="230" customFormat="false" ht="35.05" hidden="false" customHeight="false" outlineLevel="0" collapsed="false">
      <c r="A230" s="7" t="s">
        <v>1749</v>
      </c>
      <c r="B230" s="7" t="s">
        <v>1696</v>
      </c>
      <c r="C230" s="7" t="s">
        <v>1734</v>
      </c>
      <c r="D230" s="8" t="s">
        <v>1750</v>
      </c>
      <c r="E230" s="7"/>
      <c r="F230" s="7" t="s">
        <v>1751</v>
      </c>
      <c r="G230" s="7" t="s">
        <v>1752</v>
      </c>
      <c r="H230" s="7" t="s">
        <v>1753</v>
      </c>
      <c r="I230" s="7" t="s">
        <v>1735</v>
      </c>
      <c r="J230" s="7"/>
      <c r="K230" s="7" t="s">
        <v>99</v>
      </c>
      <c r="L230" s="7"/>
      <c r="M230" s="7" t="s">
        <v>1706</v>
      </c>
      <c r="N230" s="7" t="s">
        <v>49</v>
      </c>
      <c r="O230" s="7"/>
      <c r="P230" s="7"/>
      <c r="Q230" s="7" t="s">
        <v>1754</v>
      </c>
    </row>
    <row r="231" customFormat="false" ht="23.85" hidden="false" customHeight="false" outlineLevel="0" collapsed="false">
      <c r="A231" s="9" t="s">
        <v>1755</v>
      </c>
      <c r="B231" s="9" t="s">
        <v>1696</v>
      </c>
      <c r="C231" s="9" t="s">
        <v>1734</v>
      </c>
      <c r="D231" s="10" t="s">
        <v>1756</v>
      </c>
      <c r="E231" s="9"/>
      <c r="F231" s="9" t="s">
        <v>1757</v>
      </c>
      <c r="G231" s="9" t="s">
        <v>1758</v>
      </c>
      <c r="H231" s="9" t="s">
        <v>1759</v>
      </c>
      <c r="I231" s="9" t="s">
        <v>1760</v>
      </c>
      <c r="J231" s="9"/>
      <c r="K231" s="9" t="s">
        <v>68</v>
      </c>
      <c r="L231" s="9"/>
      <c r="M231" s="9" t="s">
        <v>1706</v>
      </c>
      <c r="N231" s="9" t="s">
        <v>49</v>
      </c>
      <c r="O231" s="9"/>
      <c r="P231" s="9"/>
      <c r="Q231" s="9" t="s">
        <v>1761</v>
      </c>
    </row>
    <row r="232" customFormat="false" ht="23.85" hidden="false" customHeight="false" outlineLevel="0" collapsed="false">
      <c r="A232" s="7" t="s">
        <v>1762</v>
      </c>
      <c r="B232" s="7" t="s">
        <v>1696</v>
      </c>
      <c r="C232" s="7" t="s">
        <v>1734</v>
      </c>
      <c r="D232" s="8" t="s">
        <v>1763</v>
      </c>
      <c r="E232" s="7"/>
      <c r="F232" s="7" t="s">
        <v>1764</v>
      </c>
      <c r="G232" s="7" t="s">
        <v>1765</v>
      </c>
      <c r="H232" s="7" t="s">
        <v>1766</v>
      </c>
      <c r="I232" s="7" t="s">
        <v>1767</v>
      </c>
      <c r="J232" s="7"/>
      <c r="K232" s="7" t="s">
        <v>99</v>
      </c>
      <c r="L232" s="7"/>
      <c r="M232" s="7" t="s">
        <v>1706</v>
      </c>
      <c r="N232" s="7" t="s">
        <v>49</v>
      </c>
      <c r="O232" s="7"/>
      <c r="P232" s="7"/>
      <c r="Q232" s="7" t="s">
        <v>1768</v>
      </c>
    </row>
    <row r="233" customFormat="false" ht="23.85" hidden="false" customHeight="false" outlineLevel="0" collapsed="false">
      <c r="A233" s="9" t="s">
        <v>1769</v>
      </c>
      <c r="B233" s="9" t="s">
        <v>1696</v>
      </c>
      <c r="C233" s="9" t="s">
        <v>1734</v>
      </c>
      <c r="D233" s="10" t="s">
        <v>1770</v>
      </c>
      <c r="E233" s="9"/>
      <c r="F233" s="9" t="s">
        <v>1771</v>
      </c>
      <c r="G233" s="9" t="s">
        <v>1758</v>
      </c>
      <c r="H233" s="9" t="s">
        <v>1772</v>
      </c>
      <c r="I233" s="9" t="s">
        <v>1773</v>
      </c>
      <c r="J233" s="9"/>
      <c r="K233" s="9" t="s">
        <v>99</v>
      </c>
      <c r="L233" s="9"/>
      <c r="M233" s="9" t="s">
        <v>1706</v>
      </c>
      <c r="N233" s="9" t="s">
        <v>49</v>
      </c>
      <c r="O233" s="9"/>
      <c r="P233" s="9"/>
      <c r="Q233" s="9" t="s">
        <v>1774</v>
      </c>
    </row>
    <row r="234" customFormat="false" ht="23.85" hidden="false" customHeight="false" outlineLevel="0" collapsed="false">
      <c r="A234" s="7" t="s">
        <v>1775</v>
      </c>
      <c r="B234" s="7" t="s">
        <v>1696</v>
      </c>
      <c r="C234" s="7" t="s">
        <v>1734</v>
      </c>
      <c r="D234" s="8" t="s">
        <v>1776</v>
      </c>
      <c r="E234" s="7" t="s">
        <v>1777</v>
      </c>
      <c r="F234" s="7" t="s">
        <v>1778</v>
      </c>
      <c r="G234" s="7" t="s">
        <v>1779</v>
      </c>
      <c r="H234" s="7" t="s">
        <v>1780</v>
      </c>
      <c r="I234" s="7" t="s">
        <v>1781</v>
      </c>
      <c r="J234" s="7"/>
      <c r="K234" s="7" t="s">
        <v>99</v>
      </c>
      <c r="L234" s="7"/>
      <c r="M234" s="7" t="s">
        <v>1706</v>
      </c>
      <c r="N234" s="7" t="s">
        <v>49</v>
      </c>
      <c r="O234" s="7"/>
      <c r="P234" s="7"/>
      <c r="Q234" s="7" t="s">
        <v>1782</v>
      </c>
    </row>
    <row r="235" customFormat="false" ht="23.85" hidden="false" customHeight="false" outlineLevel="0" collapsed="false">
      <c r="A235" s="9" t="s">
        <v>1783</v>
      </c>
      <c r="B235" s="9" t="s">
        <v>1696</v>
      </c>
      <c r="C235" s="9" t="s">
        <v>1734</v>
      </c>
      <c r="D235" s="10" t="s">
        <v>1784</v>
      </c>
      <c r="E235" s="9" t="s">
        <v>1785</v>
      </c>
      <c r="F235" s="9" t="s">
        <v>1786</v>
      </c>
      <c r="G235" s="9" t="s">
        <v>1787</v>
      </c>
      <c r="H235" s="9" t="s">
        <v>1788</v>
      </c>
      <c r="I235" s="9" t="s">
        <v>1789</v>
      </c>
      <c r="J235" s="9"/>
      <c r="K235" s="9" t="s">
        <v>99</v>
      </c>
      <c r="L235" s="9" t="s">
        <v>1790</v>
      </c>
      <c r="M235" s="9" t="s">
        <v>1706</v>
      </c>
      <c r="N235" s="9" t="s">
        <v>49</v>
      </c>
      <c r="O235" s="9"/>
      <c r="P235" s="9"/>
      <c r="Q235" s="9" t="s">
        <v>1791</v>
      </c>
    </row>
    <row r="236" customFormat="false" ht="23.85" hidden="false" customHeight="false" outlineLevel="0" collapsed="false">
      <c r="A236" s="7" t="s">
        <v>1792</v>
      </c>
      <c r="B236" s="7" t="s">
        <v>1696</v>
      </c>
      <c r="C236" s="7" t="s">
        <v>1734</v>
      </c>
      <c r="D236" s="8" t="s">
        <v>1793</v>
      </c>
      <c r="E236" s="7"/>
      <c r="F236" s="7" t="s">
        <v>1794</v>
      </c>
      <c r="G236" s="7" t="s">
        <v>1787</v>
      </c>
      <c r="H236" s="7" t="s">
        <v>1795</v>
      </c>
      <c r="I236" s="7" t="s">
        <v>1796</v>
      </c>
      <c r="J236" s="7"/>
      <c r="K236" s="7" t="s">
        <v>99</v>
      </c>
      <c r="L236" s="7"/>
      <c r="M236" s="7" t="s">
        <v>1706</v>
      </c>
      <c r="N236" s="7" t="s">
        <v>49</v>
      </c>
      <c r="O236" s="7"/>
      <c r="P236" s="7"/>
      <c r="Q236" s="7" t="s">
        <v>1797</v>
      </c>
    </row>
    <row r="237" customFormat="false" ht="23.85" hidden="false" customHeight="false" outlineLevel="0" collapsed="false">
      <c r="A237" s="9" t="s">
        <v>1798</v>
      </c>
      <c r="B237" s="9" t="s">
        <v>1696</v>
      </c>
      <c r="C237" s="9" t="s">
        <v>1734</v>
      </c>
      <c r="D237" s="10" t="s">
        <v>1799</v>
      </c>
      <c r="E237" s="9"/>
      <c r="F237" s="9" t="s">
        <v>1800</v>
      </c>
      <c r="G237" s="9" t="s">
        <v>1801</v>
      </c>
      <c r="H237" s="9" t="s">
        <v>1802</v>
      </c>
      <c r="I237" s="9" t="s">
        <v>1718</v>
      </c>
      <c r="J237" s="9"/>
      <c r="K237" s="9" t="s">
        <v>68</v>
      </c>
      <c r="L237" s="9"/>
      <c r="M237" s="9" t="s">
        <v>1706</v>
      </c>
      <c r="N237" s="9" t="s">
        <v>49</v>
      </c>
      <c r="O237" s="9"/>
      <c r="P237" s="9"/>
      <c r="Q237" s="9" t="s">
        <v>1803</v>
      </c>
    </row>
    <row r="238" customFormat="false" ht="23.85" hidden="false" customHeight="false" outlineLevel="0" collapsed="false">
      <c r="A238" s="7" t="s">
        <v>1804</v>
      </c>
      <c r="B238" s="7" t="s">
        <v>1696</v>
      </c>
      <c r="C238" s="7" t="s">
        <v>1805</v>
      </c>
      <c r="D238" s="8" t="s">
        <v>1806</v>
      </c>
      <c r="E238" s="7"/>
      <c r="F238" s="7" t="s">
        <v>1807</v>
      </c>
      <c r="G238" s="7" t="s">
        <v>1808</v>
      </c>
      <c r="H238" s="7" t="s">
        <v>1809</v>
      </c>
      <c r="I238" s="7" t="s">
        <v>1810</v>
      </c>
      <c r="J238" s="7"/>
      <c r="K238" s="7" t="s">
        <v>68</v>
      </c>
      <c r="L238" s="7"/>
      <c r="M238" s="7" t="s">
        <v>1706</v>
      </c>
      <c r="N238" s="7" t="s">
        <v>49</v>
      </c>
      <c r="O238" s="7"/>
      <c r="P238" s="7"/>
      <c r="Q238" s="7" t="s">
        <v>1811</v>
      </c>
    </row>
    <row r="239" customFormat="false" ht="23.85" hidden="false" customHeight="false" outlineLevel="0" collapsed="false">
      <c r="A239" s="9" t="s">
        <v>1812</v>
      </c>
      <c r="B239" s="9" t="s">
        <v>1696</v>
      </c>
      <c r="C239" s="9" t="s">
        <v>1805</v>
      </c>
      <c r="D239" s="10" t="s">
        <v>1813</v>
      </c>
      <c r="E239" s="9"/>
      <c r="F239" s="9" t="s">
        <v>1814</v>
      </c>
      <c r="G239" s="9" t="s">
        <v>1815</v>
      </c>
      <c r="H239" s="9" t="s">
        <v>1816</v>
      </c>
      <c r="I239" s="9" t="s">
        <v>1746</v>
      </c>
      <c r="J239" s="9"/>
      <c r="K239" s="9" t="s">
        <v>99</v>
      </c>
      <c r="L239" s="9"/>
      <c r="M239" s="9" t="s">
        <v>1706</v>
      </c>
      <c r="N239" s="9" t="s">
        <v>49</v>
      </c>
      <c r="O239" s="9"/>
      <c r="P239" s="9"/>
      <c r="Q239" s="9" t="s">
        <v>1817</v>
      </c>
    </row>
    <row r="240" customFormat="false" ht="35.05" hidden="false" customHeight="false" outlineLevel="0" collapsed="false">
      <c r="A240" s="7" t="s">
        <v>1818</v>
      </c>
      <c r="B240" s="7" t="s">
        <v>1696</v>
      </c>
      <c r="C240" s="7" t="s">
        <v>1805</v>
      </c>
      <c r="D240" s="8" t="s">
        <v>1819</v>
      </c>
      <c r="E240" s="7"/>
      <c r="F240" s="7" t="s">
        <v>1820</v>
      </c>
      <c r="G240" s="7" t="s">
        <v>1821</v>
      </c>
      <c r="H240" s="7" t="s">
        <v>1822</v>
      </c>
      <c r="I240" s="7" t="s">
        <v>1823</v>
      </c>
      <c r="J240" s="7"/>
      <c r="K240" s="7" t="s">
        <v>68</v>
      </c>
      <c r="L240" s="7" t="s">
        <v>1824</v>
      </c>
      <c r="M240" s="7" t="s">
        <v>1706</v>
      </c>
      <c r="N240" s="7" t="s">
        <v>49</v>
      </c>
      <c r="O240" s="7"/>
      <c r="P240" s="7"/>
      <c r="Q240" s="7" t="s">
        <v>1825</v>
      </c>
    </row>
    <row r="241" customFormat="false" ht="35.05" hidden="false" customHeight="false" outlineLevel="0" collapsed="false">
      <c r="A241" s="9" t="s">
        <v>1826</v>
      </c>
      <c r="B241" s="9" t="s">
        <v>1696</v>
      </c>
      <c r="C241" s="9" t="s">
        <v>1827</v>
      </c>
      <c r="D241" s="10" t="s">
        <v>1828</v>
      </c>
      <c r="E241" s="9"/>
      <c r="F241" s="9" t="s">
        <v>1829</v>
      </c>
      <c r="G241" s="9" t="s">
        <v>1779</v>
      </c>
      <c r="H241" s="9" t="s">
        <v>1830</v>
      </c>
      <c r="I241" s="9" t="s">
        <v>1831</v>
      </c>
      <c r="J241" s="9" t="s">
        <v>1832</v>
      </c>
      <c r="K241" s="9" t="s">
        <v>68</v>
      </c>
      <c r="L241" s="9" t="s">
        <v>1833</v>
      </c>
      <c r="M241" s="9" t="s">
        <v>1706</v>
      </c>
      <c r="N241" s="9" t="s">
        <v>49</v>
      </c>
      <c r="O241" s="9"/>
      <c r="P241" s="9"/>
      <c r="Q241" s="9" t="s">
        <v>1834</v>
      </c>
    </row>
    <row r="242" customFormat="false" ht="46.25" hidden="false" customHeight="false" outlineLevel="0" collapsed="false">
      <c r="A242" s="7" t="s">
        <v>1835</v>
      </c>
      <c r="B242" s="7" t="s">
        <v>1696</v>
      </c>
      <c r="C242" s="7" t="s">
        <v>1827</v>
      </c>
      <c r="D242" s="8" t="s">
        <v>1836</v>
      </c>
      <c r="E242" s="7"/>
      <c r="F242" s="7" t="s">
        <v>1837</v>
      </c>
      <c r="G242" s="7" t="s">
        <v>1838</v>
      </c>
      <c r="H242" s="7" t="s">
        <v>1839</v>
      </c>
      <c r="I242" s="7" t="s">
        <v>1840</v>
      </c>
      <c r="J242" s="7"/>
      <c r="K242" s="7" t="s">
        <v>68</v>
      </c>
      <c r="L242" s="7" t="s">
        <v>1841</v>
      </c>
      <c r="M242" s="7" t="s">
        <v>1706</v>
      </c>
      <c r="N242" s="7" t="s">
        <v>49</v>
      </c>
      <c r="O242" s="7"/>
      <c r="P242" s="7"/>
      <c r="Q242" s="7" t="s">
        <v>1842</v>
      </c>
    </row>
    <row r="243" customFormat="false" ht="35.05" hidden="false" customHeight="false" outlineLevel="0" collapsed="false">
      <c r="A243" s="9" t="s">
        <v>1843</v>
      </c>
      <c r="B243" s="9" t="s">
        <v>1696</v>
      </c>
      <c r="C243" s="9" t="s">
        <v>1827</v>
      </c>
      <c r="D243" s="10" t="s">
        <v>1844</v>
      </c>
      <c r="E243" s="9"/>
      <c r="F243" s="9" t="s">
        <v>1845</v>
      </c>
      <c r="G243" s="9" t="s">
        <v>1838</v>
      </c>
      <c r="H243" s="9" t="s">
        <v>1846</v>
      </c>
      <c r="I243" s="9" t="s">
        <v>1847</v>
      </c>
      <c r="J243" s="9"/>
      <c r="K243" s="9" t="s">
        <v>68</v>
      </c>
      <c r="L243" s="9"/>
      <c r="M243" s="9" t="s">
        <v>1706</v>
      </c>
      <c r="N243" s="9" t="s">
        <v>49</v>
      </c>
      <c r="O243" s="9"/>
      <c r="P243" s="9"/>
      <c r="Q243" s="9" t="s">
        <v>1848</v>
      </c>
    </row>
    <row r="244" customFormat="false" ht="23.85" hidden="false" customHeight="false" outlineLevel="0" collapsed="false">
      <c r="A244" s="7" t="s">
        <v>1849</v>
      </c>
      <c r="B244" s="7" t="s">
        <v>1696</v>
      </c>
      <c r="C244" s="7" t="s">
        <v>1827</v>
      </c>
      <c r="D244" s="8" t="s">
        <v>1850</v>
      </c>
      <c r="E244" s="7"/>
      <c r="F244" s="7" t="s">
        <v>1851</v>
      </c>
      <c r="G244" s="7" t="s">
        <v>1758</v>
      </c>
      <c r="H244" s="7" t="s">
        <v>1852</v>
      </c>
      <c r="I244" s="7" t="s">
        <v>1853</v>
      </c>
      <c r="J244" s="7"/>
      <c r="K244" s="7" t="s">
        <v>68</v>
      </c>
      <c r="L244" s="7" t="s">
        <v>1854</v>
      </c>
      <c r="M244" s="7" t="s">
        <v>1706</v>
      </c>
      <c r="N244" s="7" t="s">
        <v>49</v>
      </c>
      <c r="O244" s="7"/>
      <c r="P244" s="7"/>
      <c r="Q244" s="7" t="s">
        <v>1855</v>
      </c>
    </row>
    <row r="245" customFormat="false" ht="23.85" hidden="false" customHeight="false" outlineLevel="0" collapsed="false">
      <c r="A245" s="9" t="s">
        <v>1856</v>
      </c>
      <c r="B245" s="9" t="s">
        <v>1696</v>
      </c>
      <c r="C245" s="9" t="s">
        <v>1857</v>
      </c>
      <c r="D245" s="10" t="s">
        <v>1858</v>
      </c>
      <c r="E245" s="9"/>
      <c r="F245" s="9" t="s">
        <v>1859</v>
      </c>
      <c r="G245" s="9" t="s">
        <v>1860</v>
      </c>
      <c r="H245" s="9" t="s">
        <v>1861</v>
      </c>
      <c r="I245" s="9" t="s">
        <v>1862</v>
      </c>
      <c r="J245" s="9"/>
      <c r="K245" s="9" t="s">
        <v>46</v>
      </c>
      <c r="L245" s="9" t="s">
        <v>1863</v>
      </c>
      <c r="M245" s="9" t="s">
        <v>1706</v>
      </c>
      <c r="N245" s="9" t="s">
        <v>49</v>
      </c>
      <c r="O245" s="9"/>
      <c r="P245" s="9"/>
      <c r="Q245" s="9" t="s">
        <v>1864</v>
      </c>
    </row>
    <row r="246" customFormat="false" ht="35.05" hidden="false" customHeight="false" outlineLevel="0" collapsed="false">
      <c r="A246" s="7" t="s">
        <v>1865</v>
      </c>
      <c r="B246" s="7" t="s">
        <v>1696</v>
      </c>
      <c r="C246" s="7" t="s">
        <v>1857</v>
      </c>
      <c r="D246" s="8" t="s">
        <v>1866</v>
      </c>
      <c r="E246" s="7" t="s">
        <v>1867</v>
      </c>
      <c r="F246" s="7" t="s">
        <v>1868</v>
      </c>
      <c r="G246" s="7" t="s">
        <v>1869</v>
      </c>
      <c r="H246" s="7" t="s">
        <v>1870</v>
      </c>
      <c r="I246" s="7" t="s">
        <v>1871</v>
      </c>
      <c r="J246" s="7"/>
      <c r="K246" s="7" t="s">
        <v>99</v>
      </c>
      <c r="L246" s="7"/>
      <c r="M246" s="7" t="s">
        <v>1706</v>
      </c>
      <c r="N246" s="7" t="s">
        <v>49</v>
      </c>
      <c r="O246" s="7"/>
      <c r="P246" s="7"/>
      <c r="Q246" s="7" t="s">
        <v>1872</v>
      </c>
    </row>
    <row r="247" customFormat="false" ht="23.85" hidden="false" customHeight="false" outlineLevel="0" collapsed="false">
      <c r="A247" s="9" t="s">
        <v>1873</v>
      </c>
      <c r="B247" s="9" t="s">
        <v>1696</v>
      </c>
      <c r="C247" s="9" t="s">
        <v>1857</v>
      </c>
      <c r="D247" s="10" t="s">
        <v>1874</v>
      </c>
      <c r="E247" s="9"/>
      <c r="F247" s="9" t="s">
        <v>1875</v>
      </c>
      <c r="G247" s="9" t="s">
        <v>1876</v>
      </c>
      <c r="H247" s="9" t="s">
        <v>1877</v>
      </c>
      <c r="I247" s="9" t="s">
        <v>1878</v>
      </c>
      <c r="J247" s="9"/>
      <c r="K247" s="9" t="s">
        <v>68</v>
      </c>
      <c r="L247" s="9"/>
      <c r="M247" s="9" t="s">
        <v>1706</v>
      </c>
      <c r="N247" s="9" t="s">
        <v>49</v>
      </c>
      <c r="O247" s="9"/>
      <c r="P247" s="9"/>
      <c r="Q247" s="9" t="s">
        <v>1879</v>
      </c>
    </row>
    <row r="248" customFormat="false" ht="35.05" hidden="false" customHeight="false" outlineLevel="0" collapsed="false">
      <c r="A248" s="7" t="s">
        <v>1880</v>
      </c>
      <c r="B248" s="7" t="s">
        <v>1881</v>
      </c>
      <c r="C248" s="7" t="s">
        <v>1882</v>
      </c>
      <c r="D248" s="8" t="s">
        <v>1883</v>
      </c>
      <c r="E248" s="7" t="s">
        <v>1884</v>
      </c>
      <c r="F248" s="7" t="s">
        <v>1885</v>
      </c>
      <c r="G248" s="7" t="s">
        <v>1886</v>
      </c>
      <c r="H248" s="7" t="s">
        <v>1887</v>
      </c>
      <c r="I248" s="7" t="s">
        <v>1888</v>
      </c>
      <c r="J248" s="7"/>
      <c r="K248" s="7" t="s">
        <v>68</v>
      </c>
      <c r="L248" s="7"/>
      <c r="M248" s="7" t="s">
        <v>1889</v>
      </c>
      <c r="N248" s="7" t="s">
        <v>49</v>
      </c>
      <c r="O248" s="7"/>
      <c r="P248" s="7"/>
      <c r="Q248" s="7" t="s">
        <v>1890</v>
      </c>
    </row>
    <row r="249" customFormat="false" ht="35.05" hidden="false" customHeight="false" outlineLevel="0" collapsed="false">
      <c r="A249" s="9" t="s">
        <v>1891</v>
      </c>
      <c r="B249" s="9" t="s">
        <v>1881</v>
      </c>
      <c r="C249" s="9" t="s">
        <v>1892</v>
      </c>
      <c r="D249" s="10" t="s">
        <v>1893</v>
      </c>
      <c r="E249" s="9"/>
      <c r="F249" s="9" t="s">
        <v>1894</v>
      </c>
      <c r="G249" s="9" t="s">
        <v>1895</v>
      </c>
      <c r="H249" s="9" t="s">
        <v>1896</v>
      </c>
      <c r="I249" s="9" t="s">
        <v>1897</v>
      </c>
      <c r="J249" s="9"/>
      <c r="K249" s="9" t="s">
        <v>68</v>
      </c>
      <c r="L249" s="9"/>
      <c r="M249" s="9" t="s">
        <v>1889</v>
      </c>
      <c r="N249" s="9" t="s">
        <v>49</v>
      </c>
      <c r="O249" s="9"/>
      <c r="P249" s="9"/>
      <c r="Q249" s="9" t="s">
        <v>1898</v>
      </c>
    </row>
    <row r="250" customFormat="false" ht="35.05" hidden="false" customHeight="false" outlineLevel="0" collapsed="false">
      <c r="A250" s="7" t="s">
        <v>1899</v>
      </c>
      <c r="B250" s="7" t="s">
        <v>1881</v>
      </c>
      <c r="C250" s="7" t="s">
        <v>1892</v>
      </c>
      <c r="D250" s="8" t="s">
        <v>1900</v>
      </c>
      <c r="E250" s="7" t="s">
        <v>1901</v>
      </c>
      <c r="F250" s="7" t="s">
        <v>1902</v>
      </c>
      <c r="G250" s="7" t="s">
        <v>1903</v>
      </c>
      <c r="H250" s="7" t="s">
        <v>1904</v>
      </c>
      <c r="I250" s="7" t="s">
        <v>1905</v>
      </c>
      <c r="J250" s="7"/>
      <c r="K250" s="7" t="s">
        <v>46</v>
      </c>
      <c r="L250" s="7"/>
      <c r="M250" s="7" t="s">
        <v>1889</v>
      </c>
      <c r="N250" s="7" t="s">
        <v>49</v>
      </c>
      <c r="O250" s="7"/>
      <c r="P250" s="7"/>
      <c r="Q250" s="7" t="s">
        <v>1906</v>
      </c>
    </row>
    <row r="251" customFormat="false" ht="35.05" hidden="false" customHeight="false" outlineLevel="0" collapsed="false">
      <c r="A251" s="9" t="s">
        <v>1907</v>
      </c>
      <c r="B251" s="9" t="s">
        <v>1881</v>
      </c>
      <c r="C251" s="9" t="s">
        <v>1892</v>
      </c>
      <c r="D251" s="10" t="s">
        <v>1908</v>
      </c>
      <c r="E251" s="9"/>
      <c r="F251" s="9" t="s">
        <v>1909</v>
      </c>
      <c r="G251" s="9" t="s">
        <v>1910</v>
      </c>
      <c r="H251" s="9" t="s">
        <v>1911</v>
      </c>
      <c r="I251" s="9" t="s">
        <v>1912</v>
      </c>
      <c r="J251" s="9"/>
      <c r="K251" s="9" t="s">
        <v>68</v>
      </c>
      <c r="L251" s="9"/>
      <c r="M251" s="9" t="s">
        <v>1889</v>
      </c>
      <c r="N251" s="9" t="s">
        <v>49</v>
      </c>
      <c r="O251" s="9"/>
      <c r="P251" s="9"/>
      <c r="Q251" s="9" t="s">
        <v>1913</v>
      </c>
    </row>
    <row r="252" customFormat="false" ht="35.05" hidden="false" customHeight="false" outlineLevel="0" collapsed="false">
      <c r="A252" s="7" t="s">
        <v>1914</v>
      </c>
      <c r="B252" s="7" t="s">
        <v>1881</v>
      </c>
      <c r="C252" s="7" t="s">
        <v>1892</v>
      </c>
      <c r="D252" s="8" t="s">
        <v>1915</v>
      </c>
      <c r="E252" s="7"/>
      <c r="F252" s="7" t="s">
        <v>1916</v>
      </c>
      <c r="G252" s="7" t="s">
        <v>1917</v>
      </c>
      <c r="H252" s="7" t="s">
        <v>1918</v>
      </c>
      <c r="I252" s="7" t="s">
        <v>1919</v>
      </c>
      <c r="J252" s="7"/>
      <c r="K252" s="7" t="s">
        <v>68</v>
      </c>
      <c r="L252" s="7"/>
      <c r="M252" s="7" t="s">
        <v>1889</v>
      </c>
      <c r="N252" s="7" t="s">
        <v>49</v>
      </c>
      <c r="O252" s="7"/>
      <c r="P252" s="7"/>
      <c r="Q252" s="7" t="s">
        <v>1920</v>
      </c>
    </row>
    <row r="253" customFormat="false" ht="35.05" hidden="false" customHeight="false" outlineLevel="0" collapsed="false">
      <c r="A253" s="9" t="s">
        <v>1921</v>
      </c>
      <c r="B253" s="9" t="s">
        <v>1881</v>
      </c>
      <c r="C253" s="9" t="s">
        <v>1892</v>
      </c>
      <c r="D253" s="10" t="s">
        <v>1922</v>
      </c>
      <c r="E253" s="9"/>
      <c r="F253" s="9" t="s">
        <v>1923</v>
      </c>
      <c r="G253" s="9" t="s">
        <v>1924</v>
      </c>
      <c r="H253" s="9" t="s">
        <v>1925</v>
      </c>
      <c r="I253" s="9" t="s">
        <v>1926</v>
      </c>
      <c r="J253" s="9" t="s">
        <v>1927</v>
      </c>
      <c r="K253" s="9" t="s">
        <v>99</v>
      </c>
      <c r="L253" s="9"/>
      <c r="M253" s="9" t="s">
        <v>1889</v>
      </c>
      <c r="N253" s="9" t="s">
        <v>49</v>
      </c>
      <c r="O253" s="9"/>
      <c r="P253" s="9"/>
      <c r="Q253" s="9" t="s">
        <v>1928</v>
      </c>
    </row>
    <row r="254" customFormat="false" ht="35.05" hidden="false" customHeight="false" outlineLevel="0" collapsed="false">
      <c r="A254" s="7" t="s">
        <v>1929</v>
      </c>
      <c r="B254" s="7" t="s">
        <v>1881</v>
      </c>
      <c r="C254" s="7" t="s">
        <v>1892</v>
      </c>
      <c r="D254" s="8" t="s">
        <v>1930</v>
      </c>
      <c r="E254" s="7"/>
      <c r="F254" s="7" t="s">
        <v>1931</v>
      </c>
      <c r="G254" s="7" t="s">
        <v>1932</v>
      </c>
      <c r="H254" s="7" t="s">
        <v>1933</v>
      </c>
      <c r="I254" s="7" t="s">
        <v>1934</v>
      </c>
      <c r="J254" s="7"/>
      <c r="K254" s="7" t="s">
        <v>68</v>
      </c>
      <c r="L254" s="7"/>
      <c r="M254" s="7" t="s">
        <v>1889</v>
      </c>
      <c r="N254" s="7" t="s">
        <v>49</v>
      </c>
      <c r="O254" s="7"/>
      <c r="P254" s="7"/>
      <c r="Q254" s="7" t="s">
        <v>1935</v>
      </c>
    </row>
    <row r="255" customFormat="false" ht="35.05" hidden="false" customHeight="false" outlineLevel="0" collapsed="false">
      <c r="A255" s="9" t="s">
        <v>1936</v>
      </c>
      <c r="B255" s="9" t="s">
        <v>1881</v>
      </c>
      <c r="C255" s="9" t="s">
        <v>1937</v>
      </c>
      <c r="D255" s="10" t="s">
        <v>1938</v>
      </c>
      <c r="E255" s="9"/>
      <c r="F255" s="9" t="s">
        <v>1939</v>
      </c>
      <c r="G255" s="9" t="s">
        <v>1940</v>
      </c>
      <c r="H255" s="9" t="s">
        <v>1941</v>
      </c>
      <c r="I255" s="9" t="s">
        <v>1942</v>
      </c>
      <c r="J255" s="9"/>
      <c r="K255" s="9" t="s">
        <v>68</v>
      </c>
      <c r="L255" s="9"/>
      <c r="M255" s="9" t="s">
        <v>1889</v>
      </c>
      <c r="N255" s="9" t="s">
        <v>49</v>
      </c>
      <c r="O255" s="9"/>
      <c r="P255" s="9"/>
      <c r="Q255" s="9" t="s">
        <v>1943</v>
      </c>
    </row>
    <row r="256" customFormat="false" ht="35.05" hidden="false" customHeight="false" outlineLevel="0" collapsed="false">
      <c r="A256" s="7" t="s">
        <v>1944</v>
      </c>
      <c r="B256" s="7" t="s">
        <v>1881</v>
      </c>
      <c r="C256" s="7" t="s">
        <v>1937</v>
      </c>
      <c r="D256" s="8" t="s">
        <v>1945</v>
      </c>
      <c r="E256" s="7"/>
      <c r="F256" s="7" t="s">
        <v>1946</v>
      </c>
      <c r="G256" s="7" t="s">
        <v>1947</v>
      </c>
      <c r="H256" s="7" t="s">
        <v>1948</v>
      </c>
      <c r="I256" s="7" t="s">
        <v>1949</v>
      </c>
      <c r="J256" s="7" t="s">
        <v>1950</v>
      </c>
      <c r="K256" s="7" t="s">
        <v>68</v>
      </c>
      <c r="L256" s="7"/>
      <c r="M256" s="7" t="s">
        <v>1889</v>
      </c>
      <c r="N256" s="7" t="s">
        <v>49</v>
      </c>
      <c r="O256" s="7"/>
      <c r="P256" s="7"/>
      <c r="Q256" s="7" t="s">
        <v>1951</v>
      </c>
    </row>
    <row r="257" customFormat="false" ht="35.05" hidden="false" customHeight="false" outlineLevel="0" collapsed="false">
      <c r="A257" s="9" t="s">
        <v>1952</v>
      </c>
      <c r="B257" s="9" t="s">
        <v>1881</v>
      </c>
      <c r="C257" s="9" t="s">
        <v>1937</v>
      </c>
      <c r="D257" s="10" t="s">
        <v>1953</v>
      </c>
      <c r="E257" s="9"/>
      <c r="F257" s="9" t="s">
        <v>1954</v>
      </c>
      <c r="G257" s="9" t="s">
        <v>1955</v>
      </c>
      <c r="H257" s="9" t="s">
        <v>1956</v>
      </c>
      <c r="I257" s="9" t="s">
        <v>1945</v>
      </c>
      <c r="J257" s="9"/>
      <c r="K257" s="9" t="s">
        <v>99</v>
      </c>
      <c r="L257" s="9"/>
      <c r="M257" s="9" t="s">
        <v>1889</v>
      </c>
      <c r="N257" s="9" t="s">
        <v>49</v>
      </c>
      <c r="O257" s="9"/>
      <c r="P257" s="9"/>
      <c r="Q257" s="9" t="s">
        <v>1957</v>
      </c>
    </row>
    <row r="258" customFormat="false" ht="35.05" hidden="false" customHeight="false" outlineLevel="0" collapsed="false">
      <c r="A258" s="7" t="s">
        <v>1958</v>
      </c>
      <c r="B258" s="7" t="s">
        <v>1881</v>
      </c>
      <c r="C258" s="7" t="s">
        <v>1937</v>
      </c>
      <c r="D258" s="8" t="s">
        <v>1959</v>
      </c>
      <c r="E258" s="7"/>
      <c r="F258" s="7" t="s">
        <v>1960</v>
      </c>
      <c r="G258" s="7" t="s">
        <v>1961</v>
      </c>
      <c r="H258" s="7" t="s">
        <v>1962</v>
      </c>
      <c r="I258" s="7" t="s">
        <v>1963</v>
      </c>
      <c r="J258" s="7"/>
      <c r="K258" s="7" t="s">
        <v>68</v>
      </c>
      <c r="L258" s="7"/>
      <c r="M258" s="7" t="s">
        <v>1889</v>
      </c>
      <c r="N258" s="7" t="s">
        <v>49</v>
      </c>
      <c r="O258" s="7"/>
      <c r="P258" s="7"/>
      <c r="Q258" s="7" t="s">
        <v>1964</v>
      </c>
    </row>
    <row r="259" customFormat="false" ht="35.05" hidden="false" customHeight="false" outlineLevel="0" collapsed="false">
      <c r="A259" s="9" t="s">
        <v>1965</v>
      </c>
      <c r="B259" s="9" t="s">
        <v>1881</v>
      </c>
      <c r="C259" s="9" t="s">
        <v>1937</v>
      </c>
      <c r="D259" s="10" t="s">
        <v>1966</v>
      </c>
      <c r="E259" s="9"/>
      <c r="F259" s="9" t="s">
        <v>1967</v>
      </c>
      <c r="G259" s="9" t="s">
        <v>1968</v>
      </c>
      <c r="H259" s="9" t="s">
        <v>1969</v>
      </c>
      <c r="I259" s="9" t="s">
        <v>1970</v>
      </c>
      <c r="J259" s="9"/>
      <c r="K259" s="9" t="s">
        <v>68</v>
      </c>
      <c r="L259" s="9"/>
      <c r="M259" s="9" t="s">
        <v>1889</v>
      </c>
      <c r="N259" s="9" t="s">
        <v>49</v>
      </c>
      <c r="O259" s="9"/>
      <c r="P259" s="9"/>
      <c r="Q259" s="9" t="s">
        <v>1971</v>
      </c>
    </row>
    <row r="260" customFormat="false" ht="35.05" hidden="false" customHeight="false" outlineLevel="0" collapsed="false">
      <c r="A260" s="7" t="s">
        <v>1972</v>
      </c>
      <c r="B260" s="7" t="s">
        <v>1881</v>
      </c>
      <c r="C260" s="7" t="s">
        <v>1937</v>
      </c>
      <c r="D260" s="8" t="s">
        <v>1973</v>
      </c>
      <c r="E260" s="7"/>
      <c r="F260" s="7" t="s">
        <v>1974</v>
      </c>
      <c r="G260" s="7" t="s">
        <v>1938</v>
      </c>
      <c r="H260" s="7" t="s">
        <v>1975</v>
      </c>
      <c r="I260" s="7" t="s">
        <v>1976</v>
      </c>
      <c r="J260" s="7"/>
      <c r="K260" s="7" t="s">
        <v>99</v>
      </c>
      <c r="L260" s="7"/>
      <c r="M260" s="7" t="s">
        <v>1889</v>
      </c>
      <c r="N260" s="7" t="s">
        <v>49</v>
      </c>
      <c r="O260" s="7"/>
      <c r="P260" s="7"/>
      <c r="Q260" s="7" t="s">
        <v>1977</v>
      </c>
    </row>
    <row r="261" customFormat="false" ht="35.05" hidden="false" customHeight="false" outlineLevel="0" collapsed="false">
      <c r="A261" s="9" t="s">
        <v>1978</v>
      </c>
      <c r="B261" s="9" t="s">
        <v>1881</v>
      </c>
      <c r="C261" s="9" t="s">
        <v>1979</v>
      </c>
      <c r="D261" s="10" t="s">
        <v>1980</v>
      </c>
      <c r="E261" s="9"/>
      <c r="F261" s="9" t="s">
        <v>1981</v>
      </c>
      <c r="G261" s="9" t="s">
        <v>1982</v>
      </c>
      <c r="H261" s="9" t="s">
        <v>1983</v>
      </c>
      <c r="I261" s="9" t="s">
        <v>1984</v>
      </c>
      <c r="J261" s="9"/>
      <c r="K261" s="9" t="s">
        <v>99</v>
      </c>
      <c r="L261" s="9"/>
      <c r="M261" s="9" t="s">
        <v>1889</v>
      </c>
      <c r="N261" s="9" t="s">
        <v>49</v>
      </c>
      <c r="O261" s="9"/>
      <c r="P261" s="9"/>
      <c r="Q261" s="9" t="s">
        <v>1985</v>
      </c>
    </row>
    <row r="262" customFormat="false" ht="35.05" hidden="false" customHeight="false" outlineLevel="0" collapsed="false">
      <c r="A262" s="7" t="s">
        <v>1986</v>
      </c>
      <c r="B262" s="7" t="s">
        <v>1881</v>
      </c>
      <c r="C262" s="7" t="s">
        <v>1979</v>
      </c>
      <c r="D262" s="8" t="s">
        <v>1987</v>
      </c>
      <c r="E262" s="7"/>
      <c r="F262" s="7" t="s">
        <v>1988</v>
      </c>
      <c r="G262" s="7" t="s">
        <v>1980</v>
      </c>
      <c r="H262" s="7" t="s">
        <v>1989</v>
      </c>
      <c r="I262" s="7" t="s">
        <v>1990</v>
      </c>
      <c r="J262" s="7"/>
      <c r="K262" s="7" t="s">
        <v>99</v>
      </c>
      <c r="L262" s="7"/>
      <c r="M262" s="7" t="s">
        <v>1889</v>
      </c>
      <c r="N262" s="7" t="s">
        <v>49</v>
      </c>
      <c r="O262" s="7"/>
      <c r="P262" s="7"/>
      <c r="Q262" s="7" t="s">
        <v>1991</v>
      </c>
    </row>
    <row r="263" customFormat="false" ht="35.05" hidden="false" customHeight="false" outlineLevel="0" collapsed="false">
      <c r="A263" s="9" t="s">
        <v>1992</v>
      </c>
      <c r="B263" s="9" t="s">
        <v>1881</v>
      </c>
      <c r="C263" s="9" t="s">
        <v>1979</v>
      </c>
      <c r="D263" s="10" t="s">
        <v>1993</v>
      </c>
      <c r="E263" s="9"/>
      <c r="F263" s="9" t="s">
        <v>1994</v>
      </c>
      <c r="G263" s="9" t="s">
        <v>1995</v>
      </c>
      <c r="H263" s="9" t="s">
        <v>1996</v>
      </c>
      <c r="I263" s="9" t="s">
        <v>1997</v>
      </c>
      <c r="J263" s="9" t="s">
        <v>1998</v>
      </c>
      <c r="K263" s="9" t="s">
        <v>99</v>
      </c>
      <c r="L263" s="9"/>
      <c r="M263" s="9" t="s">
        <v>1889</v>
      </c>
      <c r="N263" s="9" t="s">
        <v>49</v>
      </c>
      <c r="O263" s="9"/>
      <c r="P263" s="9"/>
      <c r="Q263" s="9" t="s">
        <v>1999</v>
      </c>
    </row>
    <row r="264" customFormat="false" ht="35.05" hidden="false" customHeight="false" outlineLevel="0" collapsed="false">
      <c r="A264" s="7" t="s">
        <v>2000</v>
      </c>
      <c r="B264" s="7" t="s">
        <v>1881</v>
      </c>
      <c r="C264" s="7" t="s">
        <v>2001</v>
      </c>
      <c r="D264" s="8" t="s">
        <v>2002</v>
      </c>
      <c r="E264" s="7" t="s">
        <v>2003</v>
      </c>
      <c r="F264" s="7" t="s">
        <v>2004</v>
      </c>
      <c r="G264" s="7" t="s">
        <v>2005</v>
      </c>
      <c r="H264" s="7" t="s">
        <v>2006</v>
      </c>
      <c r="I264" s="7" t="s">
        <v>2007</v>
      </c>
      <c r="J264" s="7"/>
      <c r="K264" s="7" t="s">
        <v>68</v>
      </c>
      <c r="L264" s="7"/>
      <c r="M264" s="7" t="s">
        <v>1889</v>
      </c>
      <c r="N264" s="7" t="s">
        <v>49</v>
      </c>
      <c r="O264" s="7"/>
      <c r="P264" s="7"/>
      <c r="Q264" s="7" t="s">
        <v>2008</v>
      </c>
    </row>
    <row r="265" customFormat="false" ht="35.05" hidden="false" customHeight="false" outlineLevel="0" collapsed="false">
      <c r="A265" s="9" t="s">
        <v>2009</v>
      </c>
      <c r="B265" s="9" t="s">
        <v>1881</v>
      </c>
      <c r="C265" s="9" t="s">
        <v>2001</v>
      </c>
      <c r="D265" s="10" t="s">
        <v>2010</v>
      </c>
      <c r="E265" s="9"/>
      <c r="F265" s="9" t="s">
        <v>2011</v>
      </c>
      <c r="G265" s="9" t="s">
        <v>2012</v>
      </c>
      <c r="H265" s="9" t="s">
        <v>2013</v>
      </c>
      <c r="I265" s="9" t="s">
        <v>2014</v>
      </c>
      <c r="J265" s="9"/>
      <c r="K265" s="9" t="s">
        <v>68</v>
      </c>
      <c r="L265" s="9"/>
      <c r="M265" s="9" t="s">
        <v>1889</v>
      </c>
      <c r="N265" s="9" t="s">
        <v>49</v>
      </c>
      <c r="O265" s="9"/>
      <c r="P265" s="9"/>
      <c r="Q265" s="9" t="s">
        <v>2015</v>
      </c>
    </row>
    <row r="266" customFormat="false" ht="35.05" hidden="false" customHeight="false" outlineLevel="0" collapsed="false">
      <c r="A266" s="7" t="s">
        <v>2016</v>
      </c>
      <c r="B266" s="7" t="s">
        <v>1881</v>
      </c>
      <c r="C266" s="7" t="s">
        <v>2001</v>
      </c>
      <c r="D266" s="8" t="s">
        <v>2017</v>
      </c>
      <c r="E266" s="7"/>
      <c r="F266" s="7" t="s">
        <v>2018</v>
      </c>
      <c r="G266" s="7" t="s">
        <v>2019</v>
      </c>
      <c r="H266" s="7" t="s">
        <v>2020</v>
      </c>
      <c r="I266" s="7" t="s">
        <v>2021</v>
      </c>
      <c r="J266" s="7"/>
      <c r="K266" s="7" t="s">
        <v>99</v>
      </c>
      <c r="L266" s="7"/>
      <c r="M266" s="7" t="s">
        <v>1889</v>
      </c>
      <c r="N266" s="7" t="s">
        <v>49</v>
      </c>
      <c r="O266" s="7"/>
      <c r="P266" s="7"/>
      <c r="Q266" s="7" t="s">
        <v>2022</v>
      </c>
    </row>
    <row r="267" customFormat="false" ht="35.05" hidden="false" customHeight="false" outlineLevel="0" collapsed="false">
      <c r="A267" s="9" t="s">
        <v>2023</v>
      </c>
      <c r="B267" s="9" t="s">
        <v>1881</v>
      </c>
      <c r="C267" s="9" t="s">
        <v>2001</v>
      </c>
      <c r="D267" s="10" t="s">
        <v>2024</v>
      </c>
      <c r="E267" s="9"/>
      <c r="F267" s="9" t="s">
        <v>2025</v>
      </c>
      <c r="G267" s="9" t="s">
        <v>2026</v>
      </c>
      <c r="H267" s="9" t="s">
        <v>2027</v>
      </c>
      <c r="I267" s="9" t="s">
        <v>2014</v>
      </c>
      <c r="J267" s="9"/>
      <c r="K267" s="9" t="s">
        <v>99</v>
      </c>
      <c r="L267" s="9"/>
      <c r="M267" s="9" t="s">
        <v>1889</v>
      </c>
      <c r="N267" s="9" t="s">
        <v>49</v>
      </c>
      <c r="O267" s="9"/>
      <c r="P267" s="9"/>
      <c r="Q267" s="9" t="s">
        <v>2028</v>
      </c>
    </row>
    <row r="268" customFormat="false" ht="46.25" hidden="false" customHeight="false" outlineLevel="0" collapsed="false">
      <c r="A268" s="7" t="s">
        <v>2029</v>
      </c>
      <c r="B268" s="7" t="s">
        <v>1881</v>
      </c>
      <c r="C268" s="7" t="s">
        <v>2030</v>
      </c>
      <c r="D268" s="8" t="s">
        <v>2031</v>
      </c>
      <c r="E268" s="7"/>
      <c r="F268" s="7" t="s">
        <v>2032</v>
      </c>
      <c r="G268" s="7" t="s">
        <v>2033</v>
      </c>
      <c r="H268" s="7" t="s">
        <v>2034</v>
      </c>
      <c r="I268" s="7" t="s">
        <v>2035</v>
      </c>
      <c r="J268" s="7"/>
      <c r="K268" s="7" t="s">
        <v>46</v>
      </c>
      <c r="L268" s="7" t="s">
        <v>2036</v>
      </c>
      <c r="M268" s="7" t="s">
        <v>1889</v>
      </c>
      <c r="N268" s="7" t="s">
        <v>49</v>
      </c>
      <c r="O268" s="7"/>
      <c r="P268" s="7"/>
      <c r="Q268" s="7" t="s">
        <v>2037</v>
      </c>
    </row>
    <row r="269" customFormat="false" ht="35.05" hidden="false" customHeight="false" outlineLevel="0" collapsed="false">
      <c r="A269" s="9" t="s">
        <v>2038</v>
      </c>
      <c r="B269" s="9" t="s">
        <v>1881</v>
      </c>
      <c r="C269" s="9" t="s">
        <v>2030</v>
      </c>
      <c r="D269" s="10" t="s">
        <v>2039</v>
      </c>
      <c r="E269" s="9"/>
      <c r="F269" s="9" t="s">
        <v>2040</v>
      </c>
      <c r="G269" s="9" t="s">
        <v>2031</v>
      </c>
      <c r="H269" s="9" t="s">
        <v>2041</v>
      </c>
      <c r="I269" s="9" t="s">
        <v>2031</v>
      </c>
      <c r="J269" s="9"/>
      <c r="K269" s="9" t="s">
        <v>46</v>
      </c>
      <c r="L269" s="9"/>
      <c r="M269" s="9" t="s">
        <v>1889</v>
      </c>
      <c r="N269" s="9" t="s">
        <v>49</v>
      </c>
      <c r="O269" s="9"/>
      <c r="P269" s="9"/>
      <c r="Q269" s="9" t="s">
        <v>2042</v>
      </c>
    </row>
    <row r="270" customFormat="false" ht="35.05" hidden="false" customHeight="false" outlineLevel="0" collapsed="false">
      <c r="A270" s="7" t="s">
        <v>2043</v>
      </c>
      <c r="B270" s="7" t="s">
        <v>1881</v>
      </c>
      <c r="C270" s="7" t="s">
        <v>2030</v>
      </c>
      <c r="D270" s="8" t="s">
        <v>2044</v>
      </c>
      <c r="E270" s="7"/>
      <c r="F270" s="7" t="s">
        <v>2045</v>
      </c>
      <c r="G270" s="7" t="s">
        <v>2031</v>
      </c>
      <c r="H270" s="7" t="s">
        <v>2046</v>
      </c>
      <c r="I270" s="7" t="s">
        <v>2047</v>
      </c>
      <c r="J270" s="7"/>
      <c r="K270" s="7" t="s">
        <v>46</v>
      </c>
      <c r="L270" s="7"/>
      <c r="M270" s="7" t="s">
        <v>1889</v>
      </c>
      <c r="N270" s="7" t="s">
        <v>49</v>
      </c>
      <c r="O270" s="7"/>
      <c r="P270" s="7"/>
      <c r="Q270" s="7" t="s">
        <v>2048</v>
      </c>
    </row>
    <row r="271" customFormat="false" ht="35.05" hidden="false" customHeight="false" outlineLevel="0" collapsed="false">
      <c r="A271" s="9" t="s">
        <v>2049</v>
      </c>
      <c r="B271" s="9" t="s">
        <v>1881</v>
      </c>
      <c r="C271" s="9" t="s">
        <v>2030</v>
      </c>
      <c r="D271" s="10" t="s">
        <v>2050</v>
      </c>
      <c r="E271" s="9"/>
      <c r="F271" s="9" t="s">
        <v>2051</v>
      </c>
      <c r="G271" s="9" t="s">
        <v>2031</v>
      </c>
      <c r="H271" s="9" t="s">
        <v>2052</v>
      </c>
      <c r="I271" s="9" t="s">
        <v>2053</v>
      </c>
      <c r="J271" s="9"/>
      <c r="K271" s="9" t="s">
        <v>46</v>
      </c>
      <c r="L271" s="9"/>
      <c r="M271" s="9" t="s">
        <v>1889</v>
      </c>
      <c r="N271" s="9" t="s">
        <v>49</v>
      </c>
      <c r="O271" s="9"/>
      <c r="P271" s="9"/>
      <c r="Q271" s="9" t="s">
        <v>2054</v>
      </c>
    </row>
    <row r="272" customFormat="false" ht="35.05" hidden="false" customHeight="false" outlineLevel="0" collapsed="false">
      <c r="A272" s="7" t="s">
        <v>2055</v>
      </c>
      <c r="B272" s="7" t="s">
        <v>1881</v>
      </c>
      <c r="C272" s="7" t="s">
        <v>2056</v>
      </c>
      <c r="D272" s="8" t="s">
        <v>2057</v>
      </c>
      <c r="E272" s="7"/>
      <c r="F272" s="7" t="s">
        <v>2058</v>
      </c>
      <c r="G272" s="7" t="s">
        <v>2059</v>
      </c>
      <c r="H272" s="7" t="s">
        <v>2060</v>
      </c>
      <c r="I272" s="7" t="s">
        <v>2061</v>
      </c>
      <c r="J272" s="7"/>
      <c r="K272" s="7" t="s">
        <v>99</v>
      </c>
      <c r="L272" s="7"/>
      <c r="M272" s="7" t="s">
        <v>1889</v>
      </c>
      <c r="N272" s="7" t="s">
        <v>49</v>
      </c>
      <c r="O272" s="7"/>
      <c r="P272" s="7"/>
      <c r="Q272" s="7" t="s">
        <v>2062</v>
      </c>
    </row>
    <row r="273" customFormat="false" ht="35.05" hidden="false" customHeight="false" outlineLevel="0" collapsed="false">
      <c r="A273" s="9" t="s">
        <v>2063</v>
      </c>
      <c r="B273" s="9" t="s">
        <v>1881</v>
      </c>
      <c r="C273" s="9" t="s">
        <v>2064</v>
      </c>
      <c r="D273" s="10" t="s">
        <v>2065</v>
      </c>
      <c r="E273" s="9"/>
      <c r="F273" s="9" t="s">
        <v>2066</v>
      </c>
      <c r="G273" s="9" t="s">
        <v>1860</v>
      </c>
      <c r="H273" s="9" t="s">
        <v>2067</v>
      </c>
      <c r="I273" s="9" t="s">
        <v>2068</v>
      </c>
      <c r="J273" s="9"/>
      <c r="K273" s="9" t="s">
        <v>46</v>
      </c>
      <c r="L273" s="9" t="s">
        <v>2069</v>
      </c>
      <c r="M273" s="9" t="s">
        <v>1889</v>
      </c>
      <c r="N273" s="9" t="s">
        <v>49</v>
      </c>
      <c r="O273" s="9"/>
      <c r="P273" s="9"/>
      <c r="Q273" s="9" t="s">
        <v>2070</v>
      </c>
    </row>
    <row r="274" customFormat="false" ht="46.25" hidden="false" customHeight="false" outlineLevel="0" collapsed="false">
      <c r="A274" s="7" t="s">
        <v>2071</v>
      </c>
      <c r="B274" s="7" t="s">
        <v>1881</v>
      </c>
      <c r="C274" s="7" t="s">
        <v>2064</v>
      </c>
      <c r="D274" s="8" t="s">
        <v>2072</v>
      </c>
      <c r="E274" s="7"/>
      <c r="F274" s="7" t="s">
        <v>2073</v>
      </c>
      <c r="G274" s="7" t="s">
        <v>2074</v>
      </c>
      <c r="H274" s="7"/>
      <c r="I274" s="7" t="s">
        <v>2075</v>
      </c>
      <c r="J274" s="7"/>
      <c r="K274" s="7" t="s">
        <v>99</v>
      </c>
      <c r="L274" s="7" t="s">
        <v>2076</v>
      </c>
      <c r="M274" s="7" t="s">
        <v>1889</v>
      </c>
      <c r="N274" s="7" t="s">
        <v>49</v>
      </c>
      <c r="O274" s="7"/>
      <c r="P274" s="7"/>
      <c r="Q274" s="7" t="s">
        <v>2077</v>
      </c>
    </row>
    <row r="275" customFormat="false" ht="35.05" hidden="false" customHeight="false" outlineLevel="0" collapsed="false">
      <c r="A275" s="9" t="s">
        <v>2078</v>
      </c>
      <c r="B275" s="9" t="s">
        <v>1881</v>
      </c>
      <c r="C275" s="9" t="s">
        <v>2064</v>
      </c>
      <c r="D275" s="10" t="s">
        <v>2079</v>
      </c>
      <c r="E275" s="9"/>
      <c r="F275" s="9" t="s">
        <v>2080</v>
      </c>
      <c r="G275" s="9" t="s">
        <v>2081</v>
      </c>
      <c r="H275" s="9"/>
      <c r="I275" s="9" t="s">
        <v>2082</v>
      </c>
      <c r="J275" s="9"/>
      <c r="K275" s="9" t="s">
        <v>68</v>
      </c>
      <c r="L275" s="9"/>
      <c r="M275" s="9" t="s">
        <v>1889</v>
      </c>
      <c r="N275" s="9" t="s">
        <v>49</v>
      </c>
      <c r="O275" s="9"/>
      <c r="P275" s="9"/>
      <c r="Q275" s="9" t="s">
        <v>2079</v>
      </c>
    </row>
    <row r="276" customFormat="false" ht="23.85" hidden="false" customHeight="false" outlineLevel="0" collapsed="false">
      <c r="A276" s="7" t="s">
        <v>2083</v>
      </c>
      <c r="B276" s="7" t="s">
        <v>2084</v>
      </c>
      <c r="C276" s="7" t="s">
        <v>2085</v>
      </c>
      <c r="D276" s="8" t="s">
        <v>2086</v>
      </c>
      <c r="E276" s="7"/>
      <c r="F276" s="7" t="s">
        <v>2087</v>
      </c>
      <c r="G276" s="7" t="s">
        <v>2088</v>
      </c>
      <c r="H276" s="7" t="s">
        <v>2089</v>
      </c>
      <c r="I276" s="7" t="s">
        <v>2090</v>
      </c>
      <c r="J276" s="7"/>
      <c r="K276" s="7" t="s">
        <v>46</v>
      </c>
      <c r="L276" s="7" t="s">
        <v>2091</v>
      </c>
      <c r="M276" s="7" t="s">
        <v>2092</v>
      </c>
      <c r="N276" s="7" t="s">
        <v>49</v>
      </c>
      <c r="O276" s="7"/>
      <c r="P276" s="7"/>
      <c r="Q276" s="7" t="s">
        <v>2093</v>
      </c>
    </row>
    <row r="277" customFormat="false" ht="23.85" hidden="false" customHeight="false" outlineLevel="0" collapsed="false">
      <c r="A277" s="9" t="s">
        <v>2094</v>
      </c>
      <c r="B277" s="9" t="s">
        <v>2084</v>
      </c>
      <c r="C277" s="9" t="s">
        <v>2085</v>
      </c>
      <c r="D277" s="10" t="s">
        <v>2095</v>
      </c>
      <c r="E277" s="9"/>
      <c r="F277" s="9" t="s">
        <v>2096</v>
      </c>
      <c r="G277" s="9" t="s">
        <v>2097</v>
      </c>
      <c r="H277" s="9" t="s">
        <v>2098</v>
      </c>
      <c r="I277" s="9" t="s">
        <v>2099</v>
      </c>
      <c r="J277" s="9"/>
      <c r="K277" s="9" t="s">
        <v>68</v>
      </c>
      <c r="L277" s="9"/>
      <c r="M277" s="9" t="s">
        <v>2092</v>
      </c>
      <c r="N277" s="9" t="s">
        <v>49</v>
      </c>
      <c r="O277" s="9"/>
      <c r="P277" s="9"/>
      <c r="Q277" s="9" t="s">
        <v>2100</v>
      </c>
    </row>
    <row r="278" customFormat="false" ht="23.85" hidden="false" customHeight="false" outlineLevel="0" collapsed="false">
      <c r="A278" s="7" t="s">
        <v>2101</v>
      </c>
      <c r="B278" s="7" t="s">
        <v>2084</v>
      </c>
      <c r="C278" s="7" t="s">
        <v>2085</v>
      </c>
      <c r="D278" s="8" t="s">
        <v>2102</v>
      </c>
      <c r="E278" s="7"/>
      <c r="F278" s="7" t="s">
        <v>2103</v>
      </c>
      <c r="G278" s="7" t="s">
        <v>2095</v>
      </c>
      <c r="H278" s="7" t="s">
        <v>2104</v>
      </c>
      <c r="I278" s="7" t="s">
        <v>2105</v>
      </c>
      <c r="J278" s="7"/>
      <c r="K278" s="7" t="s">
        <v>99</v>
      </c>
      <c r="L278" s="7"/>
      <c r="M278" s="7" t="s">
        <v>2092</v>
      </c>
      <c r="N278" s="7" t="s">
        <v>49</v>
      </c>
      <c r="O278" s="7"/>
      <c r="P278" s="7"/>
      <c r="Q278" s="7" t="s">
        <v>2106</v>
      </c>
    </row>
    <row r="279" customFormat="false" ht="23.85" hidden="false" customHeight="false" outlineLevel="0" collapsed="false">
      <c r="A279" s="9" t="s">
        <v>2107</v>
      </c>
      <c r="B279" s="9" t="s">
        <v>2084</v>
      </c>
      <c r="C279" s="9" t="s">
        <v>2085</v>
      </c>
      <c r="D279" s="10" t="s">
        <v>2108</v>
      </c>
      <c r="E279" s="9"/>
      <c r="F279" s="9" t="s">
        <v>2109</v>
      </c>
      <c r="G279" s="9" t="s">
        <v>2110</v>
      </c>
      <c r="H279" s="9" t="s">
        <v>2111</v>
      </c>
      <c r="I279" s="9" t="s">
        <v>331</v>
      </c>
      <c r="J279" s="9"/>
      <c r="K279" s="9" t="s">
        <v>68</v>
      </c>
      <c r="L279" s="9"/>
      <c r="M279" s="9" t="s">
        <v>2092</v>
      </c>
      <c r="N279" s="9" t="s">
        <v>49</v>
      </c>
      <c r="O279" s="9"/>
      <c r="P279" s="9"/>
      <c r="Q279" s="9" t="s">
        <v>2112</v>
      </c>
    </row>
    <row r="280" customFormat="false" ht="23.85" hidden="false" customHeight="false" outlineLevel="0" collapsed="false">
      <c r="A280" s="7" t="s">
        <v>2113</v>
      </c>
      <c r="B280" s="7" t="s">
        <v>2084</v>
      </c>
      <c r="C280" s="7" t="s">
        <v>2085</v>
      </c>
      <c r="D280" s="8" t="s">
        <v>2114</v>
      </c>
      <c r="E280" s="7"/>
      <c r="F280" s="7" t="s">
        <v>2115</v>
      </c>
      <c r="G280" s="7" t="s">
        <v>2116</v>
      </c>
      <c r="H280" s="7"/>
      <c r="I280" s="7" t="s">
        <v>2086</v>
      </c>
      <c r="J280" s="7"/>
      <c r="K280" s="7" t="s">
        <v>99</v>
      </c>
      <c r="L280" s="7"/>
      <c r="M280" s="7" t="s">
        <v>2092</v>
      </c>
      <c r="N280" s="7" t="s">
        <v>49</v>
      </c>
      <c r="O280" s="7"/>
      <c r="P280" s="7"/>
      <c r="Q280" s="7" t="s">
        <v>2117</v>
      </c>
    </row>
    <row r="281" customFormat="false" ht="23.85" hidden="false" customHeight="false" outlineLevel="0" collapsed="false">
      <c r="A281" s="9" t="s">
        <v>2118</v>
      </c>
      <c r="B281" s="9" t="s">
        <v>2084</v>
      </c>
      <c r="C281" s="9" t="s">
        <v>2085</v>
      </c>
      <c r="D281" s="10" t="s">
        <v>2119</v>
      </c>
      <c r="E281" s="9"/>
      <c r="F281" s="9" t="s">
        <v>2120</v>
      </c>
      <c r="G281" s="9" t="s">
        <v>2121</v>
      </c>
      <c r="H281" s="9"/>
      <c r="I281" s="9" t="s">
        <v>2122</v>
      </c>
      <c r="J281" s="9"/>
      <c r="K281" s="9" t="s">
        <v>99</v>
      </c>
      <c r="L281" s="9"/>
      <c r="M281" s="9" t="s">
        <v>2092</v>
      </c>
      <c r="N281" s="9" t="s">
        <v>49</v>
      </c>
      <c r="O281" s="9"/>
      <c r="P281" s="9"/>
      <c r="Q281" s="9" t="s">
        <v>2123</v>
      </c>
    </row>
    <row r="282" customFormat="false" ht="23.85" hidden="false" customHeight="false" outlineLevel="0" collapsed="false">
      <c r="A282" s="7" t="s">
        <v>2124</v>
      </c>
      <c r="B282" s="7" t="s">
        <v>2084</v>
      </c>
      <c r="C282" s="7" t="s">
        <v>2085</v>
      </c>
      <c r="D282" s="8" t="s">
        <v>2125</v>
      </c>
      <c r="E282" s="7"/>
      <c r="F282" s="7" t="s">
        <v>2126</v>
      </c>
      <c r="G282" s="7" t="s">
        <v>2127</v>
      </c>
      <c r="H282" s="7"/>
      <c r="I282" s="7" t="s">
        <v>2128</v>
      </c>
      <c r="J282" s="7"/>
      <c r="K282" s="7" t="s">
        <v>99</v>
      </c>
      <c r="L282" s="7"/>
      <c r="M282" s="7" t="s">
        <v>2092</v>
      </c>
      <c r="N282" s="7" t="s">
        <v>49</v>
      </c>
      <c r="O282" s="7"/>
      <c r="P282" s="7"/>
      <c r="Q282" s="7" t="s">
        <v>2129</v>
      </c>
    </row>
    <row r="283" customFormat="false" ht="23.85" hidden="false" customHeight="false" outlineLevel="0" collapsed="false">
      <c r="A283" s="9" t="s">
        <v>2130</v>
      </c>
      <c r="B283" s="9" t="s">
        <v>2084</v>
      </c>
      <c r="C283" s="9" t="s">
        <v>2085</v>
      </c>
      <c r="D283" s="10" t="s">
        <v>2131</v>
      </c>
      <c r="E283" s="9"/>
      <c r="F283" s="9" t="s">
        <v>2132</v>
      </c>
      <c r="G283" s="9" t="s">
        <v>2133</v>
      </c>
      <c r="H283" s="9"/>
      <c r="I283" s="9" t="s">
        <v>2134</v>
      </c>
      <c r="J283" s="9"/>
      <c r="K283" s="9" t="s">
        <v>99</v>
      </c>
      <c r="L283" s="9"/>
      <c r="M283" s="9" t="s">
        <v>2092</v>
      </c>
      <c r="N283" s="9" t="s">
        <v>49</v>
      </c>
      <c r="O283" s="9"/>
      <c r="P283" s="9"/>
      <c r="Q283" s="9" t="s">
        <v>2135</v>
      </c>
    </row>
    <row r="284" customFormat="false" ht="23.85" hidden="false" customHeight="false" outlineLevel="0" collapsed="false">
      <c r="A284" s="7" t="s">
        <v>2136</v>
      </c>
      <c r="B284" s="7" t="s">
        <v>2084</v>
      </c>
      <c r="C284" s="7" t="s">
        <v>2137</v>
      </c>
      <c r="D284" s="8" t="s">
        <v>2138</v>
      </c>
      <c r="E284" s="7"/>
      <c r="F284" s="7" t="s">
        <v>2139</v>
      </c>
      <c r="G284" s="7" t="s">
        <v>2140</v>
      </c>
      <c r="H284" s="7" t="s">
        <v>2141</v>
      </c>
      <c r="I284" s="7" t="s">
        <v>345</v>
      </c>
      <c r="J284" s="7"/>
      <c r="K284" s="7" t="s">
        <v>68</v>
      </c>
      <c r="L284" s="7"/>
      <c r="M284" s="7" t="s">
        <v>2092</v>
      </c>
      <c r="N284" s="7" t="s">
        <v>49</v>
      </c>
      <c r="O284" s="7"/>
      <c r="P284" s="7"/>
      <c r="Q284" s="7" t="s">
        <v>2142</v>
      </c>
    </row>
    <row r="285" customFormat="false" ht="23.85" hidden="false" customHeight="false" outlineLevel="0" collapsed="false">
      <c r="A285" s="9" t="s">
        <v>2143</v>
      </c>
      <c r="B285" s="9" t="s">
        <v>2084</v>
      </c>
      <c r="C285" s="9" t="s">
        <v>2137</v>
      </c>
      <c r="D285" s="10" t="s">
        <v>2144</v>
      </c>
      <c r="E285" s="9"/>
      <c r="F285" s="9" t="s">
        <v>2145</v>
      </c>
      <c r="G285" s="9" t="s">
        <v>2146</v>
      </c>
      <c r="H285" s="9" t="s">
        <v>2147</v>
      </c>
      <c r="I285" s="9" t="s">
        <v>2148</v>
      </c>
      <c r="J285" s="9"/>
      <c r="K285" s="9" t="s">
        <v>99</v>
      </c>
      <c r="L285" s="9"/>
      <c r="M285" s="9" t="s">
        <v>2092</v>
      </c>
      <c r="N285" s="9" t="s">
        <v>49</v>
      </c>
      <c r="O285" s="9"/>
      <c r="P285" s="9"/>
      <c r="Q285" s="9" t="s">
        <v>2149</v>
      </c>
    </row>
    <row r="286" customFormat="false" ht="23.85" hidden="false" customHeight="false" outlineLevel="0" collapsed="false">
      <c r="A286" s="7" t="s">
        <v>2150</v>
      </c>
      <c r="B286" s="7" t="s">
        <v>2084</v>
      </c>
      <c r="C286" s="7" t="s">
        <v>2137</v>
      </c>
      <c r="D286" s="8" t="s">
        <v>2151</v>
      </c>
      <c r="E286" s="7"/>
      <c r="F286" s="7" t="s">
        <v>2152</v>
      </c>
      <c r="G286" s="7" t="s">
        <v>2153</v>
      </c>
      <c r="H286" s="7" t="s">
        <v>2154</v>
      </c>
      <c r="I286" s="7" t="s">
        <v>2155</v>
      </c>
      <c r="J286" s="7"/>
      <c r="K286" s="7" t="s">
        <v>99</v>
      </c>
      <c r="L286" s="7"/>
      <c r="M286" s="7" t="s">
        <v>2092</v>
      </c>
      <c r="N286" s="7" t="s">
        <v>49</v>
      </c>
      <c r="O286" s="7"/>
      <c r="P286" s="7"/>
      <c r="Q286" s="7" t="s">
        <v>2156</v>
      </c>
    </row>
    <row r="287" customFormat="false" ht="23.85" hidden="false" customHeight="false" outlineLevel="0" collapsed="false">
      <c r="A287" s="9" t="s">
        <v>2157</v>
      </c>
      <c r="B287" s="9" t="s">
        <v>2084</v>
      </c>
      <c r="C287" s="9" t="s">
        <v>2137</v>
      </c>
      <c r="D287" s="10" t="s">
        <v>2158</v>
      </c>
      <c r="E287" s="9"/>
      <c r="F287" s="9" t="s">
        <v>2159</v>
      </c>
      <c r="G287" s="9" t="s">
        <v>2160</v>
      </c>
      <c r="H287" s="9" t="s">
        <v>2161</v>
      </c>
      <c r="I287" s="9"/>
      <c r="J287" s="9"/>
      <c r="K287" s="9" t="s">
        <v>99</v>
      </c>
      <c r="L287" s="9"/>
      <c r="M287" s="9" t="s">
        <v>2092</v>
      </c>
      <c r="N287" s="9" t="s">
        <v>49</v>
      </c>
      <c r="O287" s="9"/>
      <c r="P287" s="9"/>
      <c r="Q287" s="9" t="s">
        <v>2162</v>
      </c>
    </row>
    <row r="288" customFormat="false" ht="23.85" hidden="false" customHeight="false" outlineLevel="0" collapsed="false">
      <c r="A288" s="7" t="s">
        <v>2163</v>
      </c>
      <c r="B288" s="7" t="s">
        <v>2084</v>
      </c>
      <c r="C288" s="7" t="s">
        <v>2137</v>
      </c>
      <c r="D288" s="8" t="s">
        <v>2164</v>
      </c>
      <c r="E288" s="7" t="s">
        <v>2165</v>
      </c>
      <c r="F288" s="7" t="s">
        <v>2166</v>
      </c>
      <c r="G288" s="7" t="s">
        <v>2167</v>
      </c>
      <c r="H288" s="7" t="s">
        <v>2168</v>
      </c>
      <c r="I288" s="7" t="s">
        <v>789</v>
      </c>
      <c r="J288" s="7"/>
      <c r="K288" s="7" t="s">
        <v>68</v>
      </c>
      <c r="L288" s="7"/>
      <c r="M288" s="7" t="s">
        <v>2092</v>
      </c>
      <c r="N288" s="7" t="s">
        <v>49</v>
      </c>
      <c r="O288" s="7"/>
      <c r="P288" s="7"/>
      <c r="Q288" s="7" t="s">
        <v>2169</v>
      </c>
    </row>
    <row r="289" customFormat="false" ht="23.85" hidden="false" customHeight="false" outlineLevel="0" collapsed="false">
      <c r="A289" s="9" t="s">
        <v>2170</v>
      </c>
      <c r="B289" s="9" t="s">
        <v>2084</v>
      </c>
      <c r="C289" s="9" t="s">
        <v>2137</v>
      </c>
      <c r="D289" s="10" t="s">
        <v>2128</v>
      </c>
      <c r="E289" s="9" t="s">
        <v>2171</v>
      </c>
      <c r="F289" s="9" t="s">
        <v>2172</v>
      </c>
      <c r="G289" s="9" t="s">
        <v>2173</v>
      </c>
      <c r="H289" s="9"/>
      <c r="I289" s="9" t="s">
        <v>2174</v>
      </c>
      <c r="J289" s="9"/>
      <c r="K289" s="9" t="s">
        <v>99</v>
      </c>
      <c r="L289" s="9"/>
      <c r="M289" s="9" t="s">
        <v>2092</v>
      </c>
      <c r="N289" s="9" t="s">
        <v>49</v>
      </c>
      <c r="O289" s="9"/>
      <c r="P289" s="9"/>
      <c r="Q289" s="9" t="s">
        <v>2175</v>
      </c>
    </row>
    <row r="290" customFormat="false" ht="23.85" hidden="false" customHeight="false" outlineLevel="0" collapsed="false">
      <c r="A290" s="7" t="s">
        <v>2176</v>
      </c>
      <c r="B290" s="7" t="s">
        <v>2084</v>
      </c>
      <c r="C290" s="7" t="s">
        <v>2137</v>
      </c>
      <c r="D290" s="8" t="s">
        <v>2177</v>
      </c>
      <c r="E290" s="7"/>
      <c r="F290" s="7" t="s">
        <v>2178</v>
      </c>
      <c r="G290" s="7" t="s">
        <v>2179</v>
      </c>
      <c r="H290" s="7" t="s">
        <v>2180</v>
      </c>
      <c r="I290" s="7" t="s">
        <v>861</v>
      </c>
      <c r="J290" s="7"/>
      <c r="K290" s="7" t="s">
        <v>68</v>
      </c>
      <c r="L290" s="7"/>
      <c r="M290" s="7" t="s">
        <v>2092</v>
      </c>
      <c r="N290" s="7" t="s">
        <v>49</v>
      </c>
      <c r="O290" s="7"/>
      <c r="P290" s="7"/>
      <c r="Q290" s="7" t="s">
        <v>2181</v>
      </c>
    </row>
    <row r="291" customFormat="false" ht="23.85" hidden="false" customHeight="false" outlineLevel="0" collapsed="false">
      <c r="A291" s="9" t="s">
        <v>2182</v>
      </c>
      <c r="B291" s="9" t="s">
        <v>2084</v>
      </c>
      <c r="C291" s="9" t="s">
        <v>2137</v>
      </c>
      <c r="D291" s="10" t="s">
        <v>2183</v>
      </c>
      <c r="E291" s="9"/>
      <c r="F291" s="9" t="s">
        <v>2184</v>
      </c>
      <c r="G291" s="9" t="s">
        <v>2185</v>
      </c>
      <c r="H291" s="9" t="s">
        <v>2186</v>
      </c>
      <c r="I291" s="9" t="s">
        <v>1828</v>
      </c>
      <c r="J291" s="9"/>
      <c r="K291" s="9" t="s">
        <v>68</v>
      </c>
      <c r="L291" s="9" t="s">
        <v>2187</v>
      </c>
      <c r="M291" s="9" t="s">
        <v>2092</v>
      </c>
      <c r="N291" s="9" t="s">
        <v>49</v>
      </c>
      <c r="O291" s="9"/>
      <c r="P291" s="9"/>
      <c r="Q291" s="9" t="s">
        <v>2188</v>
      </c>
    </row>
    <row r="292" customFormat="false" ht="23.85" hidden="false" customHeight="false" outlineLevel="0" collapsed="false">
      <c r="A292" s="7" t="s">
        <v>2189</v>
      </c>
      <c r="B292" s="7" t="s">
        <v>2084</v>
      </c>
      <c r="C292" s="7" t="s">
        <v>2137</v>
      </c>
      <c r="D292" s="8" t="s">
        <v>2190</v>
      </c>
      <c r="E292" s="7"/>
      <c r="F292" s="7" t="s">
        <v>2191</v>
      </c>
      <c r="G292" s="7" t="s">
        <v>2192</v>
      </c>
      <c r="H292" s="7" t="s">
        <v>2193</v>
      </c>
      <c r="I292" s="7" t="s">
        <v>2194</v>
      </c>
      <c r="J292" s="7"/>
      <c r="K292" s="7" t="s">
        <v>99</v>
      </c>
      <c r="L292" s="7" t="s">
        <v>1863</v>
      </c>
      <c r="M292" s="7" t="s">
        <v>2092</v>
      </c>
      <c r="N292" s="7" t="s">
        <v>49</v>
      </c>
      <c r="O292" s="7"/>
      <c r="P292" s="7"/>
      <c r="Q292" s="7" t="s">
        <v>2195</v>
      </c>
    </row>
    <row r="293" customFormat="false" ht="23.85" hidden="false" customHeight="false" outlineLevel="0" collapsed="false">
      <c r="A293" s="9" t="s">
        <v>2196</v>
      </c>
      <c r="B293" s="9" t="s">
        <v>2084</v>
      </c>
      <c r="C293" s="9" t="s">
        <v>2137</v>
      </c>
      <c r="D293" s="10" t="s">
        <v>2197</v>
      </c>
      <c r="E293" s="9"/>
      <c r="F293" s="9" t="s">
        <v>2198</v>
      </c>
      <c r="G293" s="9" t="s">
        <v>1699</v>
      </c>
      <c r="H293" s="9"/>
      <c r="I293" s="9" t="s">
        <v>2199</v>
      </c>
      <c r="J293" s="9"/>
      <c r="K293" s="9" t="s">
        <v>99</v>
      </c>
      <c r="L293" s="9" t="s">
        <v>2200</v>
      </c>
      <c r="M293" s="9" t="s">
        <v>2092</v>
      </c>
      <c r="N293" s="9" t="s">
        <v>49</v>
      </c>
      <c r="O293" s="9"/>
      <c r="P293" s="9"/>
      <c r="Q293" s="9" t="s">
        <v>2201</v>
      </c>
    </row>
    <row r="294" customFormat="false" ht="23.85" hidden="false" customHeight="false" outlineLevel="0" collapsed="false">
      <c r="A294" s="7" t="s">
        <v>2202</v>
      </c>
      <c r="B294" s="7" t="s">
        <v>2084</v>
      </c>
      <c r="C294" s="7" t="s">
        <v>2137</v>
      </c>
      <c r="D294" s="8" t="s">
        <v>2203</v>
      </c>
      <c r="E294" s="7"/>
      <c r="F294" s="7" t="s">
        <v>2204</v>
      </c>
      <c r="G294" s="7" t="s">
        <v>2205</v>
      </c>
      <c r="H294" s="7" t="s">
        <v>2206</v>
      </c>
      <c r="I294" s="7" t="s">
        <v>427</v>
      </c>
      <c r="J294" s="7"/>
      <c r="K294" s="7" t="s">
        <v>68</v>
      </c>
      <c r="L294" s="7"/>
      <c r="M294" s="7" t="s">
        <v>2092</v>
      </c>
      <c r="N294" s="7" t="s">
        <v>49</v>
      </c>
      <c r="O294" s="7"/>
      <c r="P294" s="7"/>
      <c r="Q294" s="7" t="s">
        <v>2207</v>
      </c>
    </row>
    <row r="295" customFormat="false" ht="35.05" hidden="false" customHeight="false" outlineLevel="0" collapsed="false">
      <c r="A295" s="9" t="s">
        <v>2208</v>
      </c>
      <c r="B295" s="9" t="s">
        <v>2084</v>
      </c>
      <c r="C295" s="9" t="s">
        <v>2137</v>
      </c>
      <c r="D295" s="10" t="s">
        <v>2209</v>
      </c>
      <c r="E295" s="9"/>
      <c r="F295" s="9" t="s">
        <v>2210</v>
      </c>
      <c r="G295" s="9" t="s">
        <v>2211</v>
      </c>
      <c r="H295" s="9" t="s">
        <v>2212</v>
      </c>
      <c r="I295" s="9" t="s">
        <v>2213</v>
      </c>
      <c r="J295" s="9"/>
      <c r="K295" s="9" t="s">
        <v>99</v>
      </c>
      <c r="L295" s="9"/>
      <c r="M295" s="9" t="s">
        <v>2092</v>
      </c>
      <c r="N295" s="9" t="s">
        <v>49</v>
      </c>
      <c r="O295" s="9"/>
      <c r="P295" s="9"/>
      <c r="Q295" s="9" t="s">
        <v>2214</v>
      </c>
    </row>
    <row r="296" customFormat="false" ht="23.85" hidden="false" customHeight="false" outlineLevel="0" collapsed="false">
      <c r="A296" s="7" t="s">
        <v>2215</v>
      </c>
      <c r="B296" s="7" t="s">
        <v>2084</v>
      </c>
      <c r="C296" s="7" t="s">
        <v>2137</v>
      </c>
      <c r="D296" s="8" t="s">
        <v>2216</v>
      </c>
      <c r="E296" s="7"/>
      <c r="F296" s="7" t="s">
        <v>2217</v>
      </c>
      <c r="G296" s="7" t="s">
        <v>2218</v>
      </c>
      <c r="H296" s="7"/>
      <c r="I296" s="7" t="s">
        <v>2219</v>
      </c>
      <c r="J296" s="7"/>
      <c r="K296" s="7" t="s">
        <v>99</v>
      </c>
      <c r="L296" s="7"/>
      <c r="M296" s="7" t="s">
        <v>2092</v>
      </c>
      <c r="N296" s="7" t="s">
        <v>49</v>
      </c>
      <c r="O296" s="7"/>
      <c r="P296" s="7"/>
      <c r="Q296" s="7" t="s">
        <v>2220</v>
      </c>
    </row>
    <row r="297" customFormat="false" ht="46.25" hidden="false" customHeight="false" outlineLevel="0" collapsed="false">
      <c r="A297" s="9" t="s">
        <v>2221</v>
      </c>
      <c r="B297" s="9" t="s">
        <v>2222</v>
      </c>
      <c r="C297" s="9" t="s">
        <v>2223</v>
      </c>
      <c r="D297" s="10" t="s">
        <v>2224</v>
      </c>
      <c r="E297" s="9"/>
      <c r="F297" s="9" t="s">
        <v>2225</v>
      </c>
      <c r="G297" s="9" t="s">
        <v>2226</v>
      </c>
      <c r="H297" s="9" t="s">
        <v>2227</v>
      </c>
      <c r="I297" s="9" t="s">
        <v>2228</v>
      </c>
      <c r="J297" s="9"/>
      <c r="K297" s="9" t="s">
        <v>46</v>
      </c>
      <c r="L297" s="9"/>
      <c r="M297" s="9" t="s">
        <v>2229</v>
      </c>
      <c r="N297" s="9" t="s">
        <v>49</v>
      </c>
      <c r="O297" s="9"/>
      <c r="P297" s="9"/>
      <c r="Q297" s="9" t="s">
        <v>2230</v>
      </c>
    </row>
    <row r="298" customFormat="false" ht="23.85" hidden="false" customHeight="false" outlineLevel="0" collapsed="false">
      <c r="A298" s="7" t="s">
        <v>2231</v>
      </c>
      <c r="B298" s="7" t="s">
        <v>2222</v>
      </c>
      <c r="C298" s="7" t="s">
        <v>2223</v>
      </c>
      <c r="D298" s="8" t="s">
        <v>2232</v>
      </c>
      <c r="E298" s="7"/>
      <c r="F298" s="7" t="s">
        <v>2233</v>
      </c>
      <c r="G298" s="7" t="s">
        <v>2234</v>
      </c>
      <c r="H298" s="7" t="s">
        <v>2235</v>
      </c>
      <c r="I298" s="7" t="s">
        <v>2236</v>
      </c>
      <c r="J298" s="7"/>
      <c r="K298" s="7" t="s">
        <v>46</v>
      </c>
      <c r="L298" s="7"/>
      <c r="M298" s="7" t="s">
        <v>2229</v>
      </c>
      <c r="N298" s="7" t="s">
        <v>49</v>
      </c>
      <c r="O298" s="7"/>
      <c r="P298" s="7"/>
      <c r="Q298" s="7" t="s">
        <v>2237</v>
      </c>
    </row>
    <row r="299" customFormat="false" ht="23.85" hidden="false" customHeight="false" outlineLevel="0" collapsed="false">
      <c r="A299" s="9" t="s">
        <v>2238</v>
      </c>
      <c r="B299" s="9" t="s">
        <v>2222</v>
      </c>
      <c r="C299" s="9" t="s">
        <v>2223</v>
      </c>
      <c r="D299" s="10" t="s">
        <v>2239</v>
      </c>
      <c r="E299" s="9"/>
      <c r="F299" s="9" t="s">
        <v>2240</v>
      </c>
      <c r="G299" s="9" t="s">
        <v>2241</v>
      </c>
      <c r="H299" s="9" t="s">
        <v>2242</v>
      </c>
      <c r="I299" s="9" t="s">
        <v>2243</v>
      </c>
      <c r="J299" s="9" t="s">
        <v>2244</v>
      </c>
      <c r="K299" s="9" t="s">
        <v>46</v>
      </c>
      <c r="L299" s="9"/>
      <c r="M299" s="9" t="s">
        <v>2229</v>
      </c>
      <c r="N299" s="9" t="s">
        <v>49</v>
      </c>
      <c r="O299" s="9"/>
      <c r="P299" s="9"/>
      <c r="Q299" s="9" t="s">
        <v>2245</v>
      </c>
    </row>
    <row r="300" customFormat="false" ht="35.05" hidden="false" customHeight="false" outlineLevel="0" collapsed="false">
      <c r="A300" s="7" t="s">
        <v>2246</v>
      </c>
      <c r="B300" s="7" t="s">
        <v>2222</v>
      </c>
      <c r="C300" s="7" t="s">
        <v>2223</v>
      </c>
      <c r="D300" s="8" t="s">
        <v>2247</v>
      </c>
      <c r="E300" s="7"/>
      <c r="F300" s="7" t="s">
        <v>2248</v>
      </c>
      <c r="G300" s="7" t="s">
        <v>670</v>
      </c>
      <c r="H300" s="7" t="s">
        <v>2249</v>
      </c>
      <c r="I300" s="7" t="s">
        <v>2250</v>
      </c>
      <c r="J300" s="7"/>
      <c r="K300" s="7" t="s">
        <v>46</v>
      </c>
      <c r="L300" s="7"/>
      <c r="M300" s="7" t="s">
        <v>2229</v>
      </c>
      <c r="N300" s="7" t="s">
        <v>49</v>
      </c>
      <c r="O300" s="7"/>
      <c r="P300" s="7"/>
      <c r="Q300" s="7" t="s">
        <v>2251</v>
      </c>
    </row>
    <row r="301" customFormat="false" ht="23.85" hidden="false" customHeight="false" outlineLevel="0" collapsed="false">
      <c r="A301" s="9" t="s">
        <v>2252</v>
      </c>
      <c r="B301" s="9" t="s">
        <v>2222</v>
      </c>
      <c r="C301" s="9" t="s">
        <v>2223</v>
      </c>
      <c r="D301" s="10" t="s">
        <v>2253</v>
      </c>
      <c r="E301" s="9"/>
      <c r="F301" s="9" t="s">
        <v>2254</v>
      </c>
      <c r="G301" s="9" t="s">
        <v>2255</v>
      </c>
      <c r="H301" s="9" t="s">
        <v>2256</v>
      </c>
      <c r="I301" s="9" t="s">
        <v>2257</v>
      </c>
      <c r="J301" s="9"/>
      <c r="K301" s="9" t="s">
        <v>68</v>
      </c>
      <c r="L301" s="9"/>
      <c r="M301" s="9" t="s">
        <v>2229</v>
      </c>
      <c r="N301" s="9" t="s">
        <v>49</v>
      </c>
      <c r="O301" s="9"/>
      <c r="P301" s="9"/>
      <c r="Q301" s="9" t="s">
        <v>2258</v>
      </c>
    </row>
    <row r="302" customFormat="false" ht="23.85" hidden="false" customHeight="false" outlineLevel="0" collapsed="false">
      <c r="A302" s="7" t="s">
        <v>2259</v>
      </c>
      <c r="B302" s="7" t="s">
        <v>2222</v>
      </c>
      <c r="C302" s="7" t="s">
        <v>2223</v>
      </c>
      <c r="D302" s="8" t="s">
        <v>2260</v>
      </c>
      <c r="E302" s="7"/>
      <c r="F302" s="7" t="s">
        <v>2261</v>
      </c>
      <c r="G302" s="7" t="s">
        <v>2262</v>
      </c>
      <c r="H302" s="7" t="s">
        <v>2263</v>
      </c>
      <c r="I302" s="7" t="s">
        <v>2264</v>
      </c>
      <c r="J302" s="7"/>
      <c r="K302" s="7" t="s">
        <v>68</v>
      </c>
      <c r="L302" s="7"/>
      <c r="M302" s="7" t="s">
        <v>2229</v>
      </c>
      <c r="N302" s="7" t="s">
        <v>49</v>
      </c>
      <c r="O302" s="7"/>
      <c r="P302" s="7"/>
      <c r="Q302" s="7" t="s">
        <v>2265</v>
      </c>
    </row>
    <row r="303" customFormat="false" ht="23.85" hidden="false" customHeight="false" outlineLevel="0" collapsed="false">
      <c r="A303" s="9" t="s">
        <v>2266</v>
      </c>
      <c r="B303" s="9" t="s">
        <v>2222</v>
      </c>
      <c r="C303" s="9" t="s">
        <v>2223</v>
      </c>
      <c r="D303" s="10" t="s">
        <v>2267</v>
      </c>
      <c r="E303" s="9" t="s">
        <v>2268</v>
      </c>
      <c r="F303" s="9" t="s">
        <v>2269</v>
      </c>
      <c r="G303" s="9" t="s">
        <v>2270</v>
      </c>
      <c r="H303" s="9" t="s">
        <v>2271</v>
      </c>
      <c r="I303" s="9" t="s">
        <v>2272</v>
      </c>
      <c r="J303" s="9"/>
      <c r="K303" s="9" t="s">
        <v>99</v>
      </c>
      <c r="L303" s="9"/>
      <c r="M303" s="9" t="s">
        <v>2229</v>
      </c>
      <c r="N303" s="9" t="s">
        <v>49</v>
      </c>
      <c r="O303" s="9"/>
      <c r="P303" s="9"/>
      <c r="Q303" s="9" t="s">
        <v>2273</v>
      </c>
    </row>
    <row r="304" customFormat="false" ht="23.85" hidden="false" customHeight="false" outlineLevel="0" collapsed="false">
      <c r="A304" s="7" t="s">
        <v>2274</v>
      </c>
      <c r="B304" s="7" t="s">
        <v>2222</v>
      </c>
      <c r="C304" s="7" t="s">
        <v>2223</v>
      </c>
      <c r="D304" s="8" t="s">
        <v>2275</v>
      </c>
      <c r="E304" s="7"/>
      <c r="F304" s="7" t="s">
        <v>2276</v>
      </c>
      <c r="G304" s="7" t="s">
        <v>2277</v>
      </c>
      <c r="H304" s="7" t="s">
        <v>2278</v>
      </c>
      <c r="I304" s="7" t="s">
        <v>2279</v>
      </c>
      <c r="J304" s="7"/>
      <c r="K304" s="7" t="s">
        <v>99</v>
      </c>
      <c r="L304" s="7"/>
      <c r="M304" s="7" t="s">
        <v>2229</v>
      </c>
      <c r="N304" s="7" t="s">
        <v>49</v>
      </c>
      <c r="O304" s="7"/>
      <c r="P304" s="7"/>
      <c r="Q304" s="7" t="s">
        <v>2280</v>
      </c>
    </row>
    <row r="305" customFormat="false" ht="23.85" hidden="false" customHeight="false" outlineLevel="0" collapsed="false">
      <c r="A305" s="9" t="s">
        <v>2281</v>
      </c>
      <c r="B305" s="9" t="s">
        <v>2222</v>
      </c>
      <c r="C305" s="9" t="s">
        <v>2223</v>
      </c>
      <c r="D305" s="10" t="s">
        <v>2282</v>
      </c>
      <c r="E305" s="9"/>
      <c r="F305" s="9" t="s">
        <v>2283</v>
      </c>
      <c r="G305" s="9" t="s">
        <v>2284</v>
      </c>
      <c r="H305" s="9" t="s">
        <v>2285</v>
      </c>
      <c r="I305" s="9" t="s">
        <v>2286</v>
      </c>
      <c r="J305" s="9"/>
      <c r="K305" s="9" t="s">
        <v>68</v>
      </c>
      <c r="L305" s="9"/>
      <c r="M305" s="9" t="s">
        <v>2229</v>
      </c>
      <c r="N305" s="9" t="s">
        <v>49</v>
      </c>
      <c r="O305" s="9"/>
      <c r="P305" s="9"/>
      <c r="Q305" s="9" t="s">
        <v>2287</v>
      </c>
    </row>
    <row r="306" customFormat="false" ht="35.05" hidden="false" customHeight="false" outlineLevel="0" collapsed="false">
      <c r="A306" s="7" t="s">
        <v>2288</v>
      </c>
      <c r="B306" s="7" t="s">
        <v>2222</v>
      </c>
      <c r="C306" s="7" t="s">
        <v>2223</v>
      </c>
      <c r="D306" s="8" t="s">
        <v>2289</v>
      </c>
      <c r="E306" s="7"/>
      <c r="F306" s="7" t="s">
        <v>2290</v>
      </c>
      <c r="G306" s="7" t="s">
        <v>2226</v>
      </c>
      <c r="H306" s="7" t="s">
        <v>2291</v>
      </c>
      <c r="I306" s="7" t="s">
        <v>2292</v>
      </c>
      <c r="J306" s="7"/>
      <c r="K306" s="7" t="s">
        <v>68</v>
      </c>
      <c r="L306" s="7"/>
      <c r="M306" s="7" t="s">
        <v>2229</v>
      </c>
      <c r="N306" s="7" t="s">
        <v>49</v>
      </c>
      <c r="O306" s="7"/>
      <c r="P306" s="7"/>
      <c r="Q306" s="7" t="s">
        <v>2293</v>
      </c>
    </row>
    <row r="307" customFormat="false" ht="23.85" hidden="false" customHeight="false" outlineLevel="0" collapsed="false">
      <c r="A307" s="9" t="s">
        <v>2294</v>
      </c>
      <c r="B307" s="9" t="s">
        <v>2222</v>
      </c>
      <c r="C307" s="9" t="s">
        <v>2223</v>
      </c>
      <c r="D307" s="10" t="s">
        <v>2295</v>
      </c>
      <c r="E307" s="9" t="s">
        <v>2296</v>
      </c>
      <c r="F307" s="9" t="s">
        <v>2297</v>
      </c>
      <c r="G307" s="9" t="s">
        <v>2298</v>
      </c>
      <c r="H307" s="9" t="s">
        <v>2299</v>
      </c>
      <c r="I307" s="9" t="s">
        <v>2300</v>
      </c>
      <c r="J307" s="9"/>
      <c r="K307" s="9" t="s">
        <v>68</v>
      </c>
      <c r="L307" s="9"/>
      <c r="M307" s="9" t="s">
        <v>2229</v>
      </c>
      <c r="N307" s="9" t="s">
        <v>49</v>
      </c>
      <c r="O307" s="9"/>
      <c r="P307" s="9"/>
      <c r="Q307" s="9" t="s">
        <v>2301</v>
      </c>
    </row>
    <row r="308" customFormat="false" ht="23.85" hidden="false" customHeight="false" outlineLevel="0" collapsed="false">
      <c r="A308" s="7" t="s">
        <v>2302</v>
      </c>
      <c r="B308" s="7" t="s">
        <v>2222</v>
      </c>
      <c r="C308" s="7" t="s">
        <v>2223</v>
      </c>
      <c r="D308" s="8" t="s">
        <v>2303</v>
      </c>
      <c r="E308" s="7"/>
      <c r="F308" s="7" t="s">
        <v>2304</v>
      </c>
      <c r="G308" s="7" t="s">
        <v>2305</v>
      </c>
      <c r="H308" s="7" t="s">
        <v>2306</v>
      </c>
      <c r="I308" s="7" t="s">
        <v>2307</v>
      </c>
      <c r="J308" s="7"/>
      <c r="K308" s="7" t="s">
        <v>46</v>
      </c>
      <c r="L308" s="7"/>
      <c r="M308" s="7" t="s">
        <v>2229</v>
      </c>
      <c r="N308" s="7" t="s">
        <v>49</v>
      </c>
      <c r="O308" s="7"/>
      <c r="P308" s="7"/>
      <c r="Q308" s="7" t="s">
        <v>2308</v>
      </c>
    </row>
    <row r="309" customFormat="false" ht="23.85" hidden="false" customHeight="false" outlineLevel="0" collapsed="false">
      <c r="A309" s="9" t="s">
        <v>2309</v>
      </c>
      <c r="B309" s="9" t="s">
        <v>2222</v>
      </c>
      <c r="C309" s="9" t="s">
        <v>2223</v>
      </c>
      <c r="D309" s="10" t="s">
        <v>2310</v>
      </c>
      <c r="E309" s="9" t="s">
        <v>2311</v>
      </c>
      <c r="F309" s="9" t="s">
        <v>2312</v>
      </c>
      <c r="G309" s="9" t="s">
        <v>2313</v>
      </c>
      <c r="H309" s="9" t="s">
        <v>2314</v>
      </c>
      <c r="I309" s="9" t="s">
        <v>2315</v>
      </c>
      <c r="J309" s="9"/>
      <c r="K309" s="9" t="s">
        <v>68</v>
      </c>
      <c r="L309" s="9"/>
      <c r="M309" s="9" t="s">
        <v>2229</v>
      </c>
      <c r="N309" s="9" t="s">
        <v>49</v>
      </c>
      <c r="O309" s="9"/>
      <c r="P309" s="9"/>
      <c r="Q309" s="9" t="s">
        <v>2316</v>
      </c>
    </row>
    <row r="310" customFormat="false" ht="23.85" hidden="false" customHeight="false" outlineLevel="0" collapsed="false">
      <c r="A310" s="7" t="s">
        <v>2317</v>
      </c>
      <c r="B310" s="7" t="s">
        <v>2222</v>
      </c>
      <c r="C310" s="7" t="s">
        <v>2223</v>
      </c>
      <c r="D310" s="8" t="s">
        <v>2318</v>
      </c>
      <c r="E310" s="7"/>
      <c r="F310" s="7" t="s">
        <v>2319</v>
      </c>
      <c r="G310" s="7" t="s">
        <v>2320</v>
      </c>
      <c r="H310" s="7" t="s">
        <v>2321</v>
      </c>
      <c r="I310" s="7" t="s">
        <v>2322</v>
      </c>
      <c r="J310" s="7" t="s">
        <v>2323</v>
      </c>
      <c r="K310" s="7" t="s">
        <v>68</v>
      </c>
      <c r="L310" s="7"/>
      <c r="M310" s="7" t="s">
        <v>2229</v>
      </c>
      <c r="N310" s="7" t="s">
        <v>49</v>
      </c>
      <c r="O310" s="7"/>
      <c r="P310" s="7"/>
      <c r="Q310" s="7" t="s">
        <v>2324</v>
      </c>
    </row>
    <row r="311" customFormat="false" ht="23.85" hidden="false" customHeight="false" outlineLevel="0" collapsed="false">
      <c r="A311" s="9" t="s">
        <v>2325</v>
      </c>
      <c r="B311" s="9" t="s">
        <v>2222</v>
      </c>
      <c r="C311" s="9" t="s">
        <v>2223</v>
      </c>
      <c r="D311" s="10" t="s">
        <v>2326</v>
      </c>
      <c r="E311" s="9"/>
      <c r="F311" s="9" t="s">
        <v>2327</v>
      </c>
      <c r="G311" s="9" t="s">
        <v>2328</v>
      </c>
      <c r="H311" s="9" t="s">
        <v>2329</v>
      </c>
      <c r="I311" s="9" t="s">
        <v>2330</v>
      </c>
      <c r="J311" s="9"/>
      <c r="K311" s="9" t="s">
        <v>68</v>
      </c>
      <c r="L311" s="9"/>
      <c r="M311" s="9" t="s">
        <v>2229</v>
      </c>
      <c r="N311" s="9" t="s">
        <v>49</v>
      </c>
      <c r="O311" s="9"/>
      <c r="P311" s="9"/>
      <c r="Q311" s="9" t="s">
        <v>2331</v>
      </c>
    </row>
    <row r="312" customFormat="false" ht="23.85" hidden="false" customHeight="false" outlineLevel="0" collapsed="false">
      <c r="A312" s="7" t="s">
        <v>2332</v>
      </c>
      <c r="B312" s="7" t="s">
        <v>2222</v>
      </c>
      <c r="C312" s="7" t="s">
        <v>2333</v>
      </c>
      <c r="D312" s="8" t="s">
        <v>2334</v>
      </c>
      <c r="E312" s="7" t="s">
        <v>2335</v>
      </c>
      <c r="F312" s="7" t="s">
        <v>2336</v>
      </c>
      <c r="G312" s="7" t="s">
        <v>2305</v>
      </c>
      <c r="H312" s="7" t="s">
        <v>2337</v>
      </c>
      <c r="I312" s="7" t="s">
        <v>2338</v>
      </c>
      <c r="J312" s="7"/>
      <c r="K312" s="7" t="s">
        <v>46</v>
      </c>
      <c r="L312" s="7"/>
      <c r="M312" s="7" t="s">
        <v>2229</v>
      </c>
      <c r="N312" s="7" t="s">
        <v>49</v>
      </c>
      <c r="O312" s="7"/>
      <c r="P312" s="7"/>
      <c r="Q312" s="7" t="s">
        <v>2339</v>
      </c>
    </row>
    <row r="313" customFormat="false" ht="23.85" hidden="false" customHeight="false" outlineLevel="0" collapsed="false">
      <c r="A313" s="9" t="s">
        <v>2340</v>
      </c>
      <c r="B313" s="9" t="s">
        <v>2222</v>
      </c>
      <c r="C313" s="9" t="s">
        <v>2333</v>
      </c>
      <c r="D313" s="10" t="s">
        <v>2341</v>
      </c>
      <c r="E313" s="9" t="s">
        <v>2342</v>
      </c>
      <c r="F313" s="9" t="s">
        <v>2343</v>
      </c>
      <c r="G313" s="9" t="s">
        <v>2344</v>
      </c>
      <c r="H313" s="9" t="s">
        <v>2345</v>
      </c>
      <c r="I313" s="9" t="s">
        <v>2346</v>
      </c>
      <c r="J313" s="9"/>
      <c r="K313" s="9" t="s">
        <v>46</v>
      </c>
      <c r="L313" s="9"/>
      <c r="M313" s="9" t="s">
        <v>2229</v>
      </c>
      <c r="N313" s="9" t="s">
        <v>49</v>
      </c>
      <c r="O313" s="9"/>
      <c r="P313" s="9"/>
      <c r="Q313" s="9" t="s">
        <v>2347</v>
      </c>
    </row>
    <row r="314" customFormat="false" ht="35.05" hidden="false" customHeight="false" outlineLevel="0" collapsed="false">
      <c r="A314" s="7" t="s">
        <v>2348</v>
      </c>
      <c r="B314" s="7" t="s">
        <v>2222</v>
      </c>
      <c r="C314" s="7" t="s">
        <v>2333</v>
      </c>
      <c r="D314" s="8" t="s">
        <v>2349</v>
      </c>
      <c r="E314" s="7"/>
      <c r="F314" s="7" t="s">
        <v>2350</v>
      </c>
      <c r="G314" s="7" t="s">
        <v>2351</v>
      </c>
      <c r="H314" s="7" t="s">
        <v>2352</v>
      </c>
      <c r="I314" s="7" t="s">
        <v>2353</v>
      </c>
      <c r="J314" s="7"/>
      <c r="K314" s="7" t="s">
        <v>68</v>
      </c>
      <c r="L314" s="7"/>
      <c r="M314" s="7" t="s">
        <v>2229</v>
      </c>
      <c r="N314" s="7" t="s">
        <v>49</v>
      </c>
      <c r="O314" s="7"/>
      <c r="P314" s="7"/>
      <c r="Q314" s="7" t="s">
        <v>2354</v>
      </c>
    </row>
    <row r="315" customFormat="false" ht="23.85" hidden="false" customHeight="false" outlineLevel="0" collapsed="false">
      <c r="A315" s="9" t="s">
        <v>2355</v>
      </c>
      <c r="B315" s="9" t="s">
        <v>2222</v>
      </c>
      <c r="C315" s="9" t="s">
        <v>2333</v>
      </c>
      <c r="D315" s="10" t="s">
        <v>2356</v>
      </c>
      <c r="E315" s="9" t="s">
        <v>2357</v>
      </c>
      <c r="F315" s="9" t="s">
        <v>2358</v>
      </c>
      <c r="G315" s="9" t="s">
        <v>2359</v>
      </c>
      <c r="H315" s="9" t="s">
        <v>2360</v>
      </c>
      <c r="I315" s="9" t="s">
        <v>2349</v>
      </c>
      <c r="J315" s="9"/>
      <c r="K315" s="9" t="s">
        <v>68</v>
      </c>
      <c r="L315" s="9"/>
      <c r="M315" s="9" t="s">
        <v>2229</v>
      </c>
      <c r="N315" s="9" t="s">
        <v>49</v>
      </c>
      <c r="O315" s="9"/>
      <c r="P315" s="9"/>
      <c r="Q315" s="9" t="s">
        <v>2361</v>
      </c>
    </row>
    <row r="316" customFormat="false" ht="35.05" hidden="false" customHeight="false" outlineLevel="0" collapsed="false">
      <c r="A316" s="7" t="s">
        <v>2362</v>
      </c>
      <c r="B316" s="7" t="s">
        <v>2222</v>
      </c>
      <c r="C316" s="7" t="s">
        <v>2333</v>
      </c>
      <c r="D316" s="8" t="s">
        <v>2363</v>
      </c>
      <c r="E316" s="7"/>
      <c r="F316" s="7" t="s">
        <v>2364</v>
      </c>
      <c r="G316" s="7" t="s">
        <v>2365</v>
      </c>
      <c r="H316" s="7" t="s">
        <v>2366</v>
      </c>
      <c r="I316" s="7" t="s">
        <v>2367</v>
      </c>
      <c r="J316" s="7"/>
      <c r="K316" s="7" t="s">
        <v>46</v>
      </c>
      <c r="L316" s="7"/>
      <c r="M316" s="7" t="s">
        <v>2229</v>
      </c>
      <c r="N316" s="7" t="s">
        <v>49</v>
      </c>
      <c r="O316" s="7"/>
      <c r="P316" s="7"/>
      <c r="Q316" s="7" t="s">
        <v>2368</v>
      </c>
    </row>
    <row r="317" customFormat="false" ht="23.85" hidden="false" customHeight="false" outlineLevel="0" collapsed="false">
      <c r="A317" s="9" t="s">
        <v>2369</v>
      </c>
      <c r="B317" s="9" t="s">
        <v>2222</v>
      </c>
      <c r="C317" s="9" t="s">
        <v>2333</v>
      </c>
      <c r="D317" s="10" t="s">
        <v>2370</v>
      </c>
      <c r="E317" s="9"/>
      <c r="F317" s="9" t="s">
        <v>2371</v>
      </c>
      <c r="G317" s="9" t="s">
        <v>2372</v>
      </c>
      <c r="H317" s="9" t="s">
        <v>2373</v>
      </c>
      <c r="I317" s="9" t="s">
        <v>2374</v>
      </c>
      <c r="J317" s="9"/>
      <c r="K317" s="9" t="s">
        <v>68</v>
      </c>
      <c r="L317" s="9"/>
      <c r="M317" s="9" t="s">
        <v>2229</v>
      </c>
      <c r="N317" s="9" t="s">
        <v>49</v>
      </c>
      <c r="O317" s="9"/>
      <c r="P317" s="9"/>
      <c r="Q317" s="9" t="s">
        <v>2375</v>
      </c>
    </row>
    <row r="318" customFormat="false" ht="23.85" hidden="false" customHeight="false" outlineLevel="0" collapsed="false">
      <c r="A318" s="7" t="s">
        <v>2376</v>
      </c>
      <c r="B318" s="7" t="s">
        <v>2222</v>
      </c>
      <c r="C318" s="7" t="s">
        <v>2333</v>
      </c>
      <c r="D318" s="8" t="s">
        <v>2377</v>
      </c>
      <c r="E318" s="7"/>
      <c r="F318" s="7" t="s">
        <v>2378</v>
      </c>
      <c r="G318" s="7" t="s">
        <v>2379</v>
      </c>
      <c r="H318" s="7" t="s">
        <v>2380</v>
      </c>
      <c r="I318" s="7" t="s">
        <v>2381</v>
      </c>
      <c r="J318" s="7"/>
      <c r="K318" s="7" t="s">
        <v>68</v>
      </c>
      <c r="L318" s="7"/>
      <c r="M318" s="7" t="s">
        <v>2229</v>
      </c>
      <c r="N318" s="7" t="s">
        <v>49</v>
      </c>
      <c r="O318" s="7"/>
      <c r="P318" s="7"/>
      <c r="Q318" s="7" t="s">
        <v>2382</v>
      </c>
    </row>
    <row r="319" customFormat="false" ht="23.85" hidden="false" customHeight="false" outlineLevel="0" collapsed="false">
      <c r="A319" s="9" t="s">
        <v>2383</v>
      </c>
      <c r="B319" s="9" t="s">
        <v>2222</v>
      </c>
      <c r="C319" s="9" t="s">
        <v>2333</v>
      </c>
      <c r="D319" s="10" t="s">
        <v>2384</v>
      </c>
      <c r="E319" s="9" t="s">
        <v>2385</v>
      </c>
      <c r="F319" s="9" t="s">
        <v>2386</v>
      </c>
      <c r="G319" s="9" t="s">
        <v>2387</v>
      </c>
      <c r="H319" s="9" t="s">
        <v>2388</v>
      </c>
      <c r="I319" s="9" t="s">
        <v>2389</v>
      </c>
      <c r="J319" s="9"/>
      <c r="K319" s="9" t="s">
        <v>99</v>
      </c>
      <c r="L319" s="9"/>
      <c r="M319" s="9" t="s">
        <v>2229</v>
      </c>
      <c r="N319" s="9" t="s">
        <v>49</v>
      </c>
      <c r="O319" s="9"/>
      <c r="P319" s="9"/>
      <c r="Q319" s="9" t="s">
        <v>2390</v>
      </c>
    </row>
  </sheetData>
  <autoFilter ref="A1:Q319"/>
  <conditionalFormatting sqref="N2:N319">
    <cfRule type="cellIs" priority="2" operator="equal" aboveAverage="0" equalAverage="0" bottom="0" percent="0" rank="0" text="" dxfId="6">
      <formula>"Verified"</formula>
    </cfRule>
    <cfRule type="cellIs" priority="3" operator="equal" aboveAverage="0" equalAverage="0" bottom="0" percent="0" rank="0" text="" dxfId="7">
      <formula>"Published"</formula>
    </cfRule>
    <cfRule type="cellIs" priority="4" operator="equal" aboveAverage="0" equalAverage="0" bottom="0" percent="0" rank="0" text="" dxfId="8">
      <formula>"In review"</formula>
    </cfRule>
    <cfRule type="cellIs" priority="5" operator="equal" aboveAverage="0" equalAverage="0" bottom="0" percent="0" rank="0" text="" dxfId="9">
      <formula>"Drafted"</formula>
    </cfRule>
  </conditionalFormatting>
  <dataValidations count="2">
    <dataValidation allowBlank="true" errorStyle="stop" operator="between" showDropDown="false" showErrorMessage="false" showInputMessage="false" sqref="N2:N319" type="list">
      <formula1>"Not started,Drafted,In review,Verified,Published"</formula1>
      <formula2>0</formula2>
    </dataValidation>
    <dataValidation allowBlank="true" errorStyle="stop" operator="between" showDropDown="false" showErrorMessage="false" showInputMessage="false" sqref="K2:K319" type="list">
      <formula1>"Beginner,Intermediate,Advanced"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7A"/>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80"/>
    <col collapsed="false" customWidth="true" hidden="false" outlineLevel="0" max="3" min="3" style="0" width="9"/>
    <col collapsed="false" customWidth="true" hidden="false" outlineLevel="0" max="4" min="4" style="0" width="11"/>
    <col collapsed="false" customWidth="true" hidden="false" outlineLevel="0" max="5" min="5" style="0" width="13"/>
    <col collapsed="false" customWidth="true" hidden="false" outlineLevel="0" max="6" min="6" style="0" width="11"/>
    <col collapsed="false" customWidth="true" hidden="false" outlineLevel="0" max="7" min="7" style="0" width="12"/>
    <col collapsed="false" customWidth="true" hidden="false" outlineLevel="0" max="8" min="8" style="0" width="11"/>
  </cols>
  <sheetData>
    <row r="1" customFormat="false" ht="23.85" hidden="false" customHeight="false" outlineLevel="0" collapsed="false">
      <c r="A1" s="6" t="s">
        <v>20</v>
      </c>
      <c r="B1" s="6" t="s">
        <v>2391</v>
      </c>
      <c r="C1" s="6" t="s">
        <v>2392</v>
      </c>
      <c r="D1" s="6" t="s">
        <v>46</v>
      </c>
      <c r="E1" s="6" t="s">
        <v>68</v>
      </c>
      <c r="F1" s="6" t="s">
        <v>99</v>
      </c>
      <c r="G1" s="6" t="s">
        <v>2393</v>
      </c>
      <c r="H1" s="6" t="s">
        <v>2394</v>
      </c>
    </row>
    <row r="2" customFormat="false" ht="23.85" hidden="false" customHeight="false" outlineLevel="0" collapsed="false">
      <c r="A2" s="10" t="s">
        <v>37</v>
      </c>
      <c r="B2" s="9" t="s">
        <v>2395</v>
      </c>
      <c r="C2" s="9" t="n">
        <f aca="false">COUNTIF('Term Map'!$B$2:$B$319,A2)</f>
        <v>19</v>
      </c>
      <c r="D2" s="9" t="n">
        <f aca="false">COUNTIFS('Term Map'!$B$2:$B$319,A2,'Term Map'!$K$2:$K$319,"Beginner")</f>
        <v>13</v>
      </c>
      <c r="E2" s="9" t="n">
        <f aca="false">COUNTIFS('Term Map'!$B$2:$B$319,A2,'Term Map'!$K$2:$K$319,"Intermediate")</f>
        <v>5</v>
      </c>
      <c r="F2" s="9" t="n">
        <f aca="false">COUNTIFS('Term Map'!$B$2:$B$319,A2,'Term Map'!$K$2:$K$319,"Advanced")</f>
        <v>1</v>
      </c>
      <c r="G2" s="9" t="n">
        <f aca="false">COUNTIFS('Term Map'!$B$2:$B$319,A2,'Term Map'!$N$2:$N$319,"Verified")+COUNTIFS('Term Map'!$B$2:$B$319,A2,'Term Map'!$N$2:$N$319,"Published")</f>
        <v>0</v>
      </c>
      <c r="H2" s="11" t="n">
        <f aca="false">IFERROR(G2/C2,0)</f>
        <v>0</v>
      </c>
    </row>
    <row r="3" customFormat="false" ht="15" hidden="false" customHeight="false" outlineLevel="0" collapsed="false">
      <c r="A3" s="10" t="s">
        <v>189</v>
      </c>
      <c r="B3" s="9" t="s">
        <v>2396</v>
      </c>
      <c r="C3" s="9" t="n">
        <f aca="false">COUNTIF('Term Map'!$B$2:$B$319,A3)</f>
        <v>30</v>
      </c>
      <c r="D3" s="9" t="n">
        <f aca="false">COUNTIFS('Term Map'!$B$2:$B$319,A3,'Term Map'!$K$2:$K$319,"Beginner")</f>
        <v>9</v>
      </c>
      <c r="E3" s="9" t="n">
        <f aca="false">COUNTIFS('Term Map'!$B$2:$B$319,A3,'Term Map'!$K$2:$K$319,"Intermediate")</f>
        <v>17</v>
      </c>
      <c r="F3" s="9" t="n">
        <f aca="false">COUNTIFS('Term Map'!$B$2:$B$319,A3,'Term Map'!$K$2:$K$319,"Advanced")</f>
        <v>4</v>
      </c>
      <c r="G3" s="9" t="n">
        <f aca="false">COUNTIFS('Term Map'!$B$2:$B$319,A3,'Term Map'!$N$2:$N$319,"Verified")+COUNTIFS('Term Map'!$B$2:$B$319,A3,'Term Map'!$N$2:$N$319,"Published")</f>
        <v>0</v>
      </c>
      <c r="H3" s="11" t="n">
        <f aca="false">IFERROR(G3/C3,0)</f>
        <v>0</v>
      </c>
    </row>
    <row r="4" customFormat="false" ht="23.85" hidden="false" customHeight="false" outlineLevel="0" collapsed="false">
      <c r="A4" s="10" t="s">
        <v>425</v>
      </c>
      <c r="B4" s="9" t="s">
        <v>2397</v>
      </c>
      <c r="C4" s="9" t="n">
        <f aca="false">COUNTIF('Term Map'!$B$2:$B$319,A4)</f>
        <v>27</v>
      </c>
      <c r="D4" s="9" t="n">
        <f aca="false">COUNTIFS('Term Map'!$B$2:$B$319,A4,'Term Map'!$K$2:$K$319,"Beginner")</f>
        <v>18</v>
      </c>
      <c r="E4" s="9" t="n">
        <f aca="false">COUNTIFS('Term Map'!$B$2:$B$319,A4,'Term Map'!$K$2:$K$319,"Intermediate")</f>
        <v>8</v>
      </c>
      <c r="F4" s="9" t="n">
        <f aca="false">COUNTIFS('Term Map'!$B$2:$B$319,A4,'Term Map'!$K$2:$K$319,"Advanced")</f>
        <v>1</v>
      </c>
      <c r="G4" s="9" t="n">
        <f aca="false">COUNTIFS('Term Map'!$B$2:$B$319,A4,'Term Map'!$N$2:$N$319,"Verified")+COUNTIFS('Term Map'!$B$2:$B$319,A4,'Term Map'!$N$2:$N$319,"Published")</f>
        <v>0</v>
      </c>
      <c r="H4" s="11" t="n">
        <f aca="false">IFERROR(G4/C4,0)</f>
        <v>0</v>
      </c>
    </row>
    <row r="5" customFormat="false" ht="23.85" hidden="false" customHeight="false" outlineLevel="0" collapsed="false">
      <c r="A5" s="10" t="s">
        <v>629</v>
      </c>
      <c r="B5" s="9" t="s">
        <v>2398</v>
      </c>
      <c r="C5" s="9" t="n">
        <f aca="false">COUNTIF('Term Map'!$B$2:$B$319,A5)</f>
        <v>23</v>
      </c>
      <c r="D5" s="9" t="n">
        <f aca="false">COUNTIFS('Term Map'!$B$2:$B$319,A5,'Term Map'!$K$2:$K$319,"Beginner")</f>
        <v>8</v>
      </c>
      <c r="E5" s="9" t="n">
        <f aca="false">COUNTIFS('Term Map'!$B$2:$B$319,A5,'Term Map'!$K$2:$K$319,"Intermediate")</f>
        <v>11</v>
      </c>
      <c r="F5" s="9" t="n">
        <f aca="false">COUNTIFS('Term Map'!$B$2:$B$319,A5,'Term Map'!$K$2:$K$319,"Advanced")</f>
        <v>4</v>
      </c>
      <c r="G5" s="9" t="n">
        <f aca="false">COUNTIFS('Term Map'!$B$2:$B$319,A5,'Term Map'!$N$2:$N$319,"Verified")+COUNTIFS('Term Map'!$B$2:$B$319,A5,'Term Map'!$N$2:$N$319,"Published")</f>
        <v>0</v>
      </c>
      <c r="H5" s="11" t="n">
        <f aca="false">IFERROR(G5/C5,0)</f>
        <v>0</v>
      </c>
    </row>
    <row r="6" customFormat="false" ht="23.85" hidden="false" customHeight="false" outlineLevel="0" collapsed="false">
      <c r="A6" s="10" t="s">
        <v>797</v>
      </c>
      <c r="B6" s="9" t="s">
        <v>2399</v>
      </c>
      <c r="C6" s="9" t="n">
        <f aca="false">COUNTIF('Term Map'!$B$2:$B$319,A6)</f>
        <v>30</v>
      </c>
      <c r="D6" s="9" t="n">
        <f aca="false">COUNTIFS('Term Map'!$B$2:$B$319,A6,'Term Map'!$K$2:$K$319,"Beginner")</f>
        <v>9</v>
      </c>
      <c r="E6" s="9" t="n">
        <f aca="false">COUNTIFS('Term Map'!$B$2:$B$319,A6,'Term Map'!$K$2:$K$319,"Intermediate")</f>
        <v>18</v>
      </c>
      <c r="F6" s="9" t="n">
        <f aca="false">COUNTIFS('Term Map'!$B$2:$B$319,A6,'Term Map'!$K$2:$K$319,"Advanced")</f>
        <v>3</v>
      </c>
      <c r="G6" s="9" t="n">
        <f aca="false">COUNTIFS('Term Map'!$B$2:$B$319,A6,'Term Map'!$N$2:$N$319,"Verified")+COUNTIFS('Term Map'!$B$2:$B$319,A6,'Term Map'!$N$2:$N$319,"Published")</f>
        <v>0</v>
      </c>
      <c r="H6" s="11" t="n">
        <f aca="false">IFERROR(G6/C6,0)</f>
        <v>0</v>
      </c>
    </row>
    <row r="7" customFormat="false" ht="23.85" hidden="false" customHeight="false" outlineLevel="0" collapsed="false">
      <c r="A7" s="10" t="s">
        <v>1012</v>
      </c>
      <c r="B7" s="9" t="s">
        <v>2400</v>
      </c>
      <c r="C7" s="9" t="n">
        <f aca="false">COUNTIF('Term Map'!$B$2:$B$319,A7)</f>
        <v>23</v>
      </c>
      <c r="D7" s="9" t="n">
        <f aca="false">COUNTIFS('Term Map'!$B$2:$B$319,A7,'Term Map'!$K$2:$K$319,"Beginner")</f>
        <v>7</v>
      </c>
      <c r="E7" s="9" t="n">
        <f aca="false">COUNTIFS('Term Map'!$B$2:$B$319,A7,'Term Map'!$K$2:$K$319,"Intermediate")</f>
        <v>11</v>
      </c>
      <c r="F7" s="9" t="n">
        <f aca="false">COUNTIFS('Term Map'!$B$2:$B$319,A7,'Term Map'!$K$2:$K$319,"Advanced")</f>
        <v>5</v>
      </c>
      <c r="G7" s="9" t="n">
        <f aca="false">COUNTIFS('Term Map'!$B$2:$B$319,A7,'Term Map'!$N$2:$N$319,"Verified")+COUNTIFS('Term Map'!$B$2:$B$319,A7,'Term Map'!$N$2:$N$319,"Published")</f>
        <v>0</v>
      </c>
      <c r="H7" s="11" t="n">
        <f aca="false">IFERROR(G7/C7,0)</f>
        <v>0</v>
      </c>
    </row>
    <row r="8" customFormat="false" ht="23.85" hidden="false" customHeight="false" outlineLevel="0" collapsed="false">
      <c r="A8" s="10" t="s">
        <v>1180</v>
      </c>
      <c r="B8" s="9" t="s">
        <v>2401</v>
      </c>
      <c r="C8" s="9" t="n">
        <f aca="false">COUNTIF('Term Map'!$B$2:$B$319,A8)</f>
        <v>17</v>
      </c>
      <c r="D8" s="9" t="n">
        <f aca="false">COUNTIFS('Term Map'!$B$2:$B$319,A8,'Term Map'!$K$2:$K$319,"Beginner")</f>
        <v>5</v>
      </c>
      <c r="E8" s="9" t="n">
        <f aca="false">COUNTIFS('Term Map'!$B$2:$B$319,A8,'Term Map'!$K$2:$K$319,"Intermediate")</f>
        <v>9</v>
      </c>
      <c r="F8" s="9" t="n">
        <f aca="false">COUNTIFS('Term Map'!$B$2:$B$319,A8,'Term Map'!$K$2:$K$319,"Advanced")</f>
        <v>3</v>
      </c>
      <c r="G8" s="9" t="n">
        <f aca="false">COUNTIFS('Term Map'!$B$2:$B$319,A8,'Term Map'!$N$2:$N$319,"Verified")+COUNTIFS('Term Map'!$B$2:$B$319,A8,'Term Map'!$N$2:$N$319,"Published")</f>
        <v>0</v>
      </c>
      <c r="H8" s="11" t="n">
        <f aca="false">IFERROR(G8/C8,0)</f>
        <v>0</v>
      </c>
    </row>
    <row r="9" customFormat="false" ht="15" hidden="false" customHeight="false" outlineLevel="0" collapsed="false">
      <c r="A9" s="10" t="s">
        <v>1309</v>
      </c>
      <c r="B9" s="9" t="s">
        <v>2402</v>
      </c>
      <c r="C9" s="9" t="n">
        <f aca="false">COUNTIF('Term Map'!$B$2:$B$319,A9)</f>
        <v>12</v>
      </c>
      <c r="D9" s="9" t="n">
        <f aca="false">COUNTIFS('Term Map'!$B$2:$B$319,A9,'Term Map'!$K$2:$K$319,"Beginner")</f>
        <v>1</v>
      </c>
      <c r="E9" s="9" t="n">
        <f aca="false">COUNTIFS('Term Map'!$B$2:$B$319,A9,'Term Map'!$K$2:$K$319,"Intermediate")</f>
        <v>8</v>
      </c>
      <c r="F9" s="9" t="n">
        <f aca="false">COUNTIFS('Term Map'!$B$2:$B$319,A9,'Term Map'!$K$2:$K$319,"Advanced")</f>
        <v>3</v>
      </c>
      <c r="G9" s="9" t="n">
        <f aca="false">COUNTIFS('Term Map'!$B$2:$B$319,A9,'Term Map'!$N$2:$N$319,"Verified")+COUNTIFS('Term Map'!$B$2:$B$319,A9,'Term Map'!$N$2:$N$319,"Published")</f>
        <v>0</v>
      </c>
      <c r="H9" s="11" t="n">
        <f aca="false">IFERROR(G9/C9,0)</f>
        <v>0</v>
      </c>
    </row>
    <row r="10" customFormat="false" ht="23.85" hidden="false" customHeight="false" outlineLevel="0" collapsed="false">
      <c r="A10" s="10" t="s">
        <v>1396</v>
      </c>
      <c r="B10" s="9" t="s">
        <v>2403</v>
      </c>
      <c r="C10" s="9" t="n">
        <f aca="false">COUNTIF('Term Map'!$B$2:$B$319,A10)</f>
        <v>23</v>
      </c>
      <c r="D10" s="9" t="n">
        <f aca="false">COUNTIFS('Term Map'!$B$2:$B$319,A10,'Term Map'!$K$2:$K$319,"Beginner")</f>
        <v>2</v>
      </c>
      <c r="E10" s="9" t="n">
        <f aca="false">COUNTIFS('Term Map'!$B$2:$B$319,A10,'Term Map'!$K$2:$K$319,"Intermediate")</f>
        <v>6</v>
      </c>
      <c r="F10" s="9" t="n">
        <f aca="false">COUNTIFS('Term Map'!$B$2:$B$319,A10,'Term Map'!$K$2:$K$319,"Advanced")</f>
        <v>15</v>
      </c>
      <c r="G10" s="9" t="n">
        <f aca="false">COUNTIFS('Term Map'!$B$2:$B$319,A10,'Term Map'!$N$2:$N$319,"Verified")+COUNTIFS('Term Map'!$B$2:$B$319,A10,'Term Map'!$N$2:$N$319,"Published")</f>
        <v>0</v>
      </c>
      <c r="H10" s="11" t="n">
        <f aca="false">IFERROR(G10/C10,0)</f>
        <v>0</v>
      </c>
    </row>
    <row r="11" customFormat="false" ht="15" hidden="false" customHeight="false" outlineLevel="0" collapsed="false">
      <c r="A11" s="10" t="s">
        <v>1565</v>
      </c>
      <c r="B11" s="9" t="s">
        <v>2404</v>
      </c>
      <c r="C11" s="9" t="n">
        <f aca="false">COUNTIF('Term Map'!$B$2:$B$319,A11)</f>
        <v>18</v>
      </c>
      <c r="D11" s="9" t="n">
        <f aca="false">COUNTIFS('Term Map'!$B$2:$B$319,A11,'Term Map'!$K$2:$K$319,"Beginner")</f>
        <v>3</v>
      </c>
      <c r="E11" s="9" t="n">
        <f aca="false">COUNTIFS('Term Map'!$B$2:$B$319,A11,'Term Map'!$K$2:$K$319,"Intermediate")</f>
        <v>4</v>
      </c>
      <c r="F11" s="9" t="n">
        <f aca="false">COUNTIFS('Term Map'!$B$2:$B$319,A11,'Term Map'!$K$2:$K$319,"Advanced")</f>
        <v>11</v>
      </c>
      <c r="G11" s="9" t="n">
        <f aca="false">COUNTIFS('Term Map'!$B$2:$B$319,A11,'Term Map'!$N$2:$N$319,"Verified")+COUNTIFS('Term Map'!$B$2:$B$319,A11,'Term Map'!$N$2:$N$319,"Published")</f>
        <v>0</v>
      </c>
      <c r="H11" s="11" t="n">
        <f aca="false">IFERROR(G11/C11,0)</f>
        <v>0</v>
      </c>
    </row>
    <row r="12" customFormat="false" ht="23.85" hidden="false" customHeight="false" outlineLevel="0" collapsed="false">
      <c r="A12" s="10" t="s">
        <v>1696</v>
      </c>
      <c r="B12" s="9" t="s">
        <v>2405</v>
      </c>
      <c r="C12" s="9" t="n">
        <f aca="false">COUNTIF('Term Map'!$B$2:$B$319,A12)</f>
        <v>24</v>
      </c>
      <c r="D12" s="9" t="n">
        <f aca="false">COUNTIFS('Term Map'!$B$2:$B$319,A12,'Term Map'!$K$2:$K$319,"Beginner")</f>
        <v>4</v>
      </c>
      <c r="E12" s="9" t="n">
        <f aca="false">COUNTIFS('Term Map'!$B$2:$B$319,A12,'Term Map'!$K$2:$K$319,"Intermediate")</f>
        <v>12</v>
      </c>
      <c r="F12" s="9" t="n">
        <f aca="false">COUNTIFS('Term Map'!$B$2:$B$319,A12,'Term Map'!$K$2:$K$319,"Advanced")</f>
        <v>8</v>
      </c>
      <c r="G12" s="9" t="n">
        <f aca="false">COUNTIFS('Term Map'!$B$2:$B$319,A12,'Term Map'!$N$2:$N$319,"Verified")+COUNTIFS('Term Map'!$B$2:$B$319,A12,'Term Map'!$N$2:$N$319,"Published")</f>
        <v>0</v>
      </c>
      <c r="H12" s="11" t="n">
        <f aca="false">IFERROR(G12/C12,0)</f>
        <v>0</v>
      </c>
    </row>
    <row r="13" customFormat="false" ht="23.85" hidden="false" customHeight="false" outlineLevel="0" collapsed="false">
      <c r="A13" s="10" t="s">
        <v>1881</v>
      </c>
      <c r="B13" s="9" t="s">
        <v>2406</v>
      </c>
      <c r="C13" s="9" t="n">
        <f aca="false">COUNTIF('Term Map'!$B$2:$B$319,A13)</f>
        <v>28</v>
      </c>
      <c r="D13" s="9" t="n">
        <f aca="false">COUNTIFS('Term Map'!$B$2:$B$319,A13,'Term Map'!$K$2:$K$319,"Beginner")</f>
        <v>6</v>
      </c>
      <c r="E13" s="9" t="n">
        <f aca="false">COUNTIFS('Term Map'!$B$2:$B$319,A13,'Term Map'!$K$2:$K$319,"Intermediate")</f>
        <v>12</v>
      </c>
      <c r="F13" s="9" t="n">
        <f aca="false">COUNTIFS('Term Map'!$B$2:$B$319,A13,'Term Map'!$K$2:$K$319,"Advanced")</f>
        <v>10</v>
      </c>
      <c r="G13" s="9" t="n">
        <f aca="false">COUNTIFS('Term Map'!$B$2:$B$319,A13,'Term Map'!$N$2:$N$319,"Verified")+COUNTIFS('Term Map'!$B$2:$B$319,A13,'Term Map'!$N$2:$N$319,"Published")</f>
        <v>0</v>
      </c>
      <c r="H13" s="11" t="n">
        <f aca="false">IFERROR(G13/C13,0)</f>
        <v>0</v>
      </c>
    </row>
    <row r="14" customFormat="false" ht="23.85" hidden="false" customHeight="false" outlineLevel="0" collapsed="false">
      <c r="A14" s="10" t="s">
        <v>2084</v>
      </c>
      <c r="B14" s="9" t="s">
        <v>2407</v>
      </c>
      <c r="C14" s="9" t="n">
        <f aca="false">COUNTIF('Term Map'!$B$2:$B$319,A14)</f>
        <v>21</v>
      </c>
      <c r="D14" s="9" t="n">
        <f aca="false">COUNTIFS('Term Map'!$B$2:$B$319,A14,'Term Map'!$K$2:$K$319,"Beginner")</f>
        <v>1</v>
      </c>
      <c r="E14" s="9" t="n">
        <f aca="false">COUNTIFS('Term Map'!$B$2:$B$319,A14,'Term Map'!$K$2:$K$319,"Intermediate")</f>
        <v>7</v>
      </c>
      <c r="F14" s="9" t="n">
        <f aca="false">COUNTIFS('Term Map'!$B$2:$B$319,A14,'Term Map'!$K$2:$K$319,"Advanced")</f>
        <v>13</v>
      </c>
      <c r="G14" s="9" t="n">
        <f aca="false">COUNTIFS('Term Map'!$B$2:$B$319,A14,'Term Map'!$N$2:$N$319,"Verified")+COUNTIFS('Term Map'!$B$2:$B$319,A14,'Term Map'!$N$2:$N$319,"Published")</f>
        <v>0</v>
      </c>
      <c r="H14" s="11" t="n">
        <f aca="false">IFERROR(G14/C14,0)</f>
        <v>0</v>
      </c>
    </row>
    <row r="15" customFormat="false" ht="23.85" hidden="false" customHeight="false" outlineLevel="0" collapsed="false">
      <c r="A15" s="10" t="s">
        <v>2222</v>
      </c>
      <c r="B15" s="9" t="s">
        <v>2408</v>
      </c>
      <c r="C15" s="9" t="n">
        <f aca="false">COUNTIF('Term Map'!$B$2:$B$319,A15)</f>
        <v>23</v>
      </c>
      <c r="D15" s="9" t="n">
        <f aca="false">COUNTIFS('Term Map'!$B$2:$B$319,A15,'Term Map'!$K$2:$K$319,"Beginner")</f>
        <v>8</v>
      </c>
      <c r="E15" s="9" t="n">
        <f aca="false">COUNTIFS('Term Map'!$B$2:$B$319,A15,'Term Map'!$K$2:$K$319,"Intermediate")</f>
        <v>12</v>
      </c>
      <c r="F15" s="9" t="n">
        <f aca="false">COUNTIFS('Term Map'!$B$2:$B$319,A15,'Term Map'!$K$2:$K$319,"Advanced")</f>
        <v>3</v>
      </c>
      <c r="G15" s="9" t="n">
        <f aca="false">COUNTIFS('Term Map'!$B$2:$B$319,A15,'Term Map'!$N$2:$N$319,"Verified")+COUNTIFS('Term Map'!$B$2:$B$319,A15,'Term Map'!$N$2:$N$319,"Published")</f>
        <v>0</v>
      </c>
      <c r="H15" s="11" t="n">
        <f aca="false">IFERROR(G15/C15,0)</f>
        <v>0</v>
      </c>
    </row>
    <row r="16" customFormat="false" ht="15" hidden="false" customHeight="false" outlineLevel="0" collapsed="false">
      <c r="A16" s="12" t="s">
        <v>2409</v>
      </c>
      <c r="B16" s="12"/>
      <c r="C16" s="12" t="n">
        <f aca="false">SUM(C2:C15)</f>
        <v>318</v>
      </c>
      <c r="D16" s="12" t="n">
        <f aca="false">SUM(D2:D15)</f>
        <v>94</v>
      </c>
      <c r="E16" s="12" t="n">
        <f aca="false">SUM(E2:E15)</f>
        <v>140</v>
      </c>
      <c r="F16" s="12" t="n">
        <f aca="false">SUM(F2:F15)</f>
        <v>84</v>
      </c>
      <c r="G16" s="12" t="n">
        <f aca="false">SUM(G2:G15)</f>
        <v>0</v>
      </c>
      <c r="H16" s="13" t="n">
        <f aca="false">IFERROR(G16/C16,0)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7A"/>
    <pageSetUpPr fitToPage="false"/>
  </sheetPr>
  <dimension ref="A1:E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62"/>
    <col collapsed="false" customWidth="true" hidden="false" outlineLevel="0" max="4" min="4" style="0" width="26"/>
    <col collapsed="false" customWidth="true" hidden="false" outlineLevel="0" max="5" min="5" style="0" width="22"/>
  </cols>
  <sheetData>
    <row r="1" customFormat="false" ht="17.35" hidden="false" customHeight="false" outlineLevel="0" collapsed="false">
      <c r="A1" s="14" t="s">
        <v>2410</v>
      </c>
    </row>
    <row r="2" customFormat="false" ht="15" hidden="false" customHeight="false" outlineLevel="0" collapsed="false">
      <c r="A2" s="15" t="s">
        <v>2411</v>
      </c>
    </row>
    <row r="4" customFormat="false" ht="15" hidden="false" customHeight="false" outlineLevel="0" collapsed="false">
      <c r="A4" s="16" t="s">
        <v>2412</v>
      </c>
      <c r="B4" s="16" t="s">
        <v>2413</v>
      </c>
      <c r="C4" s="16" t="s">
        <v>2414</v>
      </c>
      <c r="D4" s="16" t="s">
        <v>2415</v>
      </c>
      <c r="E4" s="16" t="s">
        <v>2416</v>
      </c>
    </row>
    <row r="5" customFormat="false" ht="15" hidden="false" customHeight="false" outlineLevel="0" collapsed="false">
      <c r="A5" s="9" t="s">
        <v>39</v>
      </c>
      <c r="B5" s="10" t="s">
        <v>2417</v>
      </c>
      <c r="C5" s="9" t="s">
        <v>2418</v>
      </c>
      <c r="D5" s="9"/>
      <c r="E5" s="9" t="s">
        <v>2419</v>
      </c>
    </row>
    <row r="6" customFormat="false" ht="15" hidden="false" customHeight="false" outlineLevel="0" collapsed="false">
      <c r="A6" s="9" t="s">
        <v>52</v>
      </c>
      <c r="B6" s="10" t="s">
        <v>2420</v>
      </c>
      <c r="C6" s="9" t="s">
        <v>2421</v>
      </c>
      <c r="D6" s="9" t="s">
        <v>2417</v>
      </c>
      <c r="E6" s="9" t="s">
        <v>2422</v>
      </c>
    </row>
    <row r="7" customFormat="false" ht="15" hidden="false" customHeight="false" outlineLevel="0" collapsed="false">
      <c r="A7" s="9" t="s">
        <v>52</v>
      </c>
      <c r="B7" s="10" t="s">
        <v>2423</v>
      </c>
      <c r="C7" s="9" t="s">
        <v>2424</v>
      </c>
      <c r="D7" s="9" t="s">
        <v>2417</v>
      </c>
      <c r="E7" s="9" t="s">
        <v>2425</v>
      </c>
    </row>
    <row r="8" customFormat="false" ht="15" hidden="false" customHeight="false" outlineLevel="0" collapsed="false">
      <c r="A8" s="9" t="s">
        <v>52</v>
      </c>
      <c r="B8" s="10" t="s">
        <v>2426</v>
      </c>
      <c r="C8" s="9" t="s">
        <v>2427</v>
      </c>
      <c r="D8" s="9" t="s">
        <v>2417</v>
      </c>
      <c r="E8" s="9" t="s">
        <v>2428</v>
      </c>
    </row>
    <row r="9" customFormat="false" ht="15" hidden="false" customHeight="false" outlineLevel="0" collapsed="false">
      <c r="A9" s="9" t="s">
        <v>61</v>
      </c>
      <c r="B9" s="10" t="s">
        <v>2429</v>
      </c>
      <c r="C9" s="9" t="s">
        <v>2430</v>
      </c>
      <c r="D9" s="9" t="s">
        <v>2417</v>
      </c>
      <c r="E9" s="9" t="s">
        <v>2431</v>
      </c>
    </row>
    <row r="10" customFormat="false" ht="15" hidden="false" customHeight="false" outlineLevel="0" collapsed="false">
      <c r="A10" s="9" t="s">
        <v>2432</v>
      </c>
      <c r="B10" s="10" t="s">
        <v>2433</v>
      </c>
      <c r="C10" s="9" t="s">
        <v>2434</v>
      </c>
      <c r="D10" s="9" t="s">
        <v>2420</v>
      </c>
      <c r="E10" s="9" t="s">
        <v>2435</v>
      </c>
    </row>
    <row r="11" customFormat="false" ht="15" hidden="false" customHeight="false" outlineLevel="0" collapsed="false">
      <c r="A11" s="9" t="s">
        <v>2432</v>
      </c>
      <c r="B11" s="10" t="s">
        <v>2436</v>
      </c>
      <c r="C11" s="9" t="s">
        <v>2437</v>
      </c>
      <c r="D11" s="9" t="s">
        <v>2420</v>
      </c>
      <c r="E11" s="9" t="s">
        <v>2435</v>
      </c>
    </row>
    <row r="12" customFormat="false" ht="15" hidden="false" customHeight="false" outlineLevel="0" collapsed="false">
      <c r="A12" s="9" t="s">
        <v>191</v>
      </c>
      <c r="B12" s="10" t="s">
        <v>2438</v>
      </c>
      <c r="C12" s="9" t="s">
        <v>2439</v>
      </c>
      <c r="D12" s="9" t="s">
        <v>2440</v>
      </c>
      <c r="E12" s="9" t="s">
        <v>2435</v>
      </c>
    </row>
    <row r="13" customFormat="false" ht="15" hidden="false" customHeight="false" outlineLevel="0" collapsed="false">
      <c r="A13" s="9" t="s">
        <v>191</v>
      </c>
      <c r="B13" s="10" t="s">
        <v>2441</v>
      </c>
      <c r="C13" s="9" t="s">
        <v>2442</v>
      </c>
      <c r="D13" s="9" t="s">
        <v>2438</v>
      </c>
      <c r="E13" s="9" t="s">
        <v>2443</v>
      </c>
    </row>
    <row r="14" customFormat="false" ht="15" hidden="false" customHeight="false" outlineLevel="0" collapsed="false">
      <c r="A14" s="9" t="s">
        <v>191</v>
      </c>
      <c r="B14" s="10" t="s">
        <v>2444</v>
      </c>
      <c r="C14" s="9" t="s">
        <v>2445</v>
      </c>
      <c r="D14" s="9" t="s">
        <v>2440</v>
      </c>
      <c r="E14" s="9" t="s">
        <v>2446</v>
      </c>
    </row>
    <row r="15" customFormat="false" ht="15" hidden="false" customHeight="false" outlineLevel="0" collapsed="false">
      <c r="A15" s="9" t="s">
        <v>191</v>
      </c>
      <c r="B15" s="10" t="s">
        <v>2447</v>
      </c>
      <c r="C15" s="9" t="s">
        <v>2448</v>
      </c>
      <c r="D15" s="9" t="s">
        <v>2440</v>
      </c>
      <c r="E15" s="9" t="s">
        <v>2449</v>
      </c>
    </row>
    <row r="16" customFormat="false" ht="15" hidden="false" customHeight="false" outlineLevel="0" collapsed="false">
      <c r="A16" s="9" t="s">
        <v>191</v>
      </c>
      <c r="B16" s="10" t="s">
        <v>2450</v>
      </c>
      <c r="C16" s="9" t="s">
        <v>2451</v>
      </c>
      <c r="D16" s="9" t="s">
        <v>2420</v>
      </c>
      <c r="E16" s="9" t="s">
        <v>2452</v>
      </c>
    </row>
    <row r="17" customFormat="false" ht="15" hidden="false" customHeight="false" outlineLevel="0" collapsed="false">
      <c r="A17" s="9" t="s">
        <v>191</v>
      </c>
      <c r="B17" s="10" t="s">
        <v>2453</v>
      </c>
      <c r="C17" s="9" t="s">
        <v>2454</v>
      </c>
      <c r="D17" s="9" t="s">
        <v>2423</v>
      </c>
      <c r="E17" s="9" t="s">
        <v>2455</v>
      </c>
    </row>
    <row r="18" customFormat="false" ht="15" hidden="false" customHeight="false" outlineLevel="0" collapsed="false">
      <c r="A18" s="9" t="s">
        <v>191</v>
      </c>
      <c r="B18" s="10" t="s">
        <v>2456</v>
      </c>
      <c r="C18" s="9" t="s">
        <v>2457</v>
      </c>
      <c r="D18" s="9" t="s">
        <v>2420</v>
      </c>
      <c r="E18" s="9" t="s">
        <v>2435</v>
      </c>
    </row>
    <row r="19" customFormat="false" ht="23.85" hidden="false" customHeight="false" outlineLevel="0" collapsed="false">
      <c r="A19" s="9" t="s">
        <v>246</v>
      </c>
      <c r="B19" s="10" t="s">
        <v>2458</v>
      </c>
      <c r="C19" s="9" t="s">
        <v>2459</v>
      </c>
      <c r="D19" s="9" t="s">
        <v>2441</v>
      </c>
      <c r="E19" s="9" t="s">
        <v>2460</v>
      </c>
    </row>
    <row r="20" customFormat="false" ht="15" hidden="false" customHeight="false" outlineLevel="0" collapsed="false">
      <c r="A20" s="9" t="s">
        <v>246</v>
      </c>
      <c r="B20" s="10" t="s">
        <v>2461</v>
      </c>
      <c r="C20" s="9" t="s">
        <v>2462</v>
      </c>
      <c r="D20" s="9" t="s">
        <v>2438</v>
      </c>
      <c r="E20" s="9" t="s">
        <v>2463</v>
      </c>
    </row>
    <row r="21" customFormat="false" ht="15" hidden="false" customHeight="false" outlineLevel="0" collapsed="false">
      <c r="A21" s="9" t="s">
        <v>246</v>
      </c>
      <c r="B21" s="10" t="s">
        <v>2464</v>
      </c>
      <c r="C21" s="9" t="s">
        <v>2465</v>
      </c>
      <c r="D21" s="9" t="s">
        <v>2458</v>
      </c>
      <c r="E21" s="9" t="s">
        <v>2466</v>
      </c>
    </row>
    <row r="22" customFormat="false" ht="15" hidden="false" customHeight="false" outlineLevel="0" collapsed="false">
      <c r="A22" s="9" t="s">
        <v>246</v>
      </c>
      <c r="B22" s="10" t="s">
        <v>2467</v>
      </c>
      <c r="C22" s="9" t="s">
        <v>2468</v>
      </c>
      <c r="D22" s="9" t="s">
        <v>2469</v>
      </c>
      <c r="E22" s="9" t="s">
        <v>2470</v>
      </c>
    </row>
    <row r="23" customFormat="false" ht="15" hidden="false" customHeight="false" outlineLevel="0" collapsed="false">
      <c r="A23" s="9" t="s">
        <v>246</v>
      </c>
      <c r="B23" s="10" t="s">
        <v>2471</v>
      </c>
      <c r="C23" s="9" t="s">
        <v>2472</v>
      </c>
      <c r="D23" s="9" t="s">
        <v>2458</v>
      </c>
      <c r="E23" s="9" t="s">
        <v>2435</v>
      </c>
    </row>
    <row r="24" customFormat="false" ht="15" hidden="false" customHeight="false" outlineLevel="0" collapsed="false">
      <c r="A24" s="9" t="s">
        <v>246</v>
      </c>
      <c r="B24" s="10" t="s">
        <v>2473</v>
      </c>
      <c r="C24" s="9" t="s">
        <v>2474</v>
      </c>
      <c r="D24" s="9" t="s">
        <v>2447</v>
      </c>
      <c r="E24" s="9" t="s">
        <v>2475</v>
      </c>
    </row>
    <row r="25" customFormat="false" ht="15" hidden="false" customHeight="false" outlineLevel="0" collapsed="false">
      <c r="A25" s="9" t="s">
        <v>246</v>
      </c>
      <c r="B25" s="10" t="s">
        <v>2476</v>
      </c>
      <c r="C25" s="9" t="s">
        <v>2477</v>
      </c>
      <c r="D25" s="9" t="s">
        <v>2423</v>
      </c>
      <c r="E25" s="9" t="s">
        <v>2425</v>
      </c>
    </row>
    <row r="26" customFormat="false" ht="15" hidden="false" customHeight="false" outlineLevel="0" collapsed="false">
      <c r="A26" s="9" t="s">
        <v>246</v>
      </c>
      <c r="B26" s="10" t="s">
        <v>2478</v>
      </c>
      <c r="C26" s="9" t="s">
        <v>2479</v>
      </c>
      <c r="D26" s="9" t="s">
        <v>2426</v>
      </c>
      <c r="E26" s="9" t="s">
        <v>2428</v>
      </c>
    </row>
    <row r="27" customFormat="false" ht="15" hidden="false" customHeight="false" outlineLevel="0" collapsed="false">
      <c r="A27" s="9" t="s">
        <v>387</v>
      </c>
      <c r="B27" s="10" t="s">
        <v>2480</v>
      </c>
      <c r="C27" s="9" t="s">
        <v>2481</v>
      </c>
      <c r="D27" s="9" t="s">
        <v>2458</v>
      </c>
      <c r="E27" s="9" t="s">
        <v>2446</v>
      </c>
    </row>
    <row r="28" customFormat="false" ht="15" hidden="false" customHeight="false" outlineLevel="0" collapsed="false">
      <c r="A28" s="9" t="s">
        <v>387</v>
      </c>
      <c r="B28" s="10" t="s">
        <v>2482</v>
      </c>
      <c r="C28" s="9" t="s">
        <v>2483</v>
      </c>
      <c r="D28" s="9" t="s">
        <v>2458</v>
      </c>
      <c r="E28" s="9" t="s">
        <v>2484</v>
      </c>
    </row>
    <row r="29" customFormat="false" ht="15" hidden="false" customHeight="false" outlineLevel="0" collapsed="false">
      <c r="A29" s="9" t="s">
        <v>387</v>
      </c>
      <c r="B29" s="10" t="s">
        <v>2485</v>
      </c>
      <c r="C29" s="9" t="s">
        <v>2486</v>
      </c>
      <c r="D29" s="9" t="s">
        <v>2458</v>
      </c>
      <c r="E29" s="9" t="s">
        <v>2435</v>
      </c>
    </row>
    <row r="30" customFormat="false" ht="15" hidden="false" customHeight="false" outlineLevel="0" collapsed="false">
      <c r="A30" s="9" t="s">
        <v>799</v>
      </c>
      <c r="B30" s="10" t="s">
        <v>2487</v>
      </c>
      <c r="C30" s="9" t="s">
        <v>2488</v>
      </c>
      <c r="D30" s="9" t="s">
        <v>2489</v>
      </c>
      <c r="E30" s="9" t="s">
        <v>2452</v>
      </c>
    </row>
    <row r="31" customFormat="false" ht="15" hidden="false" customHeight="false" outlineLevel="0" collapsed="false">
      <c r="A31" s="9" t="s">
        <v>799</v>
      </c>
      <c r="B31" s="10" t="s">
        <v>2490</v>
      </c>
      <c r="C31" s="9" t="s">
        <v>2491</v>
      </c>
      <c r="D31" s="9" t="s">
        <v>2489</v>
      </c>
      <c r="E31" s="9" t="s">
        <v>2455</v>
      </c>
    </row>
    <row r="32" customFormat="false" ht="15" hidden="false" customHeight="false" outlineLevel="0" collapsed="false">
      <c r="A32" s="9" t="s">
        <v>631</v>
      </c>
      <c r="B32" s="10" t="s">
        <v>2492</v>
      </c>
      <c r="C32" s="9" t="s">
        <v>2493</v>
      </c>
      <c r="D32" s="9"/>
      <c r="E32" s="9" t="s">
        <v>2449</v>
      </c>
    </row>
    <row r="33" customFormat="false" ht="15" hidden="false" customHeight="false" outlineLevel="0" collapsed="false">
      <c r="A33" s="9" t="s">
        <v>631</v>
      </c>
      <c r="B33" s="10" t="s">
        <v>2494</v>
      </c>
      <c r="C33" s="9" t="s">
        <v>2495</v>
      </c>
      <c r="D33" s="9"/>
      <c r="E33" s="9" t="s">
        <v>2449</v>
      </c>
    </row>
    <row r="34" customFormat="false" ht="15" hidden="false" customHeight="false" outlineLevel="0" collapsed="false">
      <c r="A34" s="9" t="s">
        <v>631</v>
      </c>
      <c r="B34" s="10" t="s">
        <v>2496</v>
      </c>
      <c r="C34" s="9" t="s">
        <v>2497</v>
      </c>
      <c r="D34" s="9"/>
      <c r="E34" s="9" t="s">
        <v>2449</v>
      </c>
    </row>
    <row r="35" customFormat="false" ht="15" hidden="false" customHeight="false" outlineLevel="0" collapsed="false">
      <c r="A35" s="9" t="s">
        <v>2498</v>
      </c>
      <c r="B35" s="10" t="s">
        <v>2499</v>
      </c>
      <c r="C35" s="9" t="s">
        <v>2500</v>
      </c>
      <c r="D35" s="9" t="s">
        <v>2458</v>
      </c>
      <c r="E35" s="9" t="s">
        <v>2449</v>
      </c>
    </row>
    <row r="36" customFormat="false" ht="15" hidden="false" customHeight="false" outlineLevel="0" collapsed="false">
      <c r="A36" s="9" t="s">
        <v>2498</v>
      </c>
      <c r="B36" s="10" t="s">
        <v>2501</v>
      </c>
      <c r="C36" s="9" t="s">
        <v>2502</v>
      </c>
      <c r="D36" s="9" t="s">
        <v>2458</v>
      </c>
      <c r="E36" s="9" t="s">
        <v>2449</v>
      </c>
    </row>
    <row r="37" customFormat="false" ht="15" hidden="false" customHeight="false" outlineLevel="0" collapsed="false">
      <c r="A37" s="9" t="s">
        <v>746</v>
      </c>
      <c r="B37" s="10" t="s">
        <v>2503</v>
      </c>
      <c r="C37" s="9" t="s">
        <v>2504</v>
      </c>
      <c r="D37" s="9" t="s">
        <v>2420</v>
      </c>
      <c r="E37" s="9" t="s">
        <v>2449</v>
      </c>
    </row>
    <row r="38" customFormat="false" ht="15" hidden="false" customHeight="false" outlineLevel="0" collapsed="false">
      <c r="A38" s="9" t="s">
        <v>761</v>
      </c>
      <c r="B38" s="10" t="s">
        <v>2505</v>
      </c>
      <c r="C38" s="9" t="s">
        <v>2506</v>
      </c>
      <c r="D38" s="9"/>
      <c r="E38" s="9" t="s">
        <v>2449</v>
      </c>
    </row>
    <row r="39" customFormat="false" ht="15" hidden="false" customHeight="false" outlineLevel="0" collapsed="false">
      <c r="A39" s="9" t="s">
        <v>451</v>
      </c>
      <c r="B39" s="10" t="s">
        <v>2507</v>
      </c>
      <c r="C39" s="9" t="s">
        <v>2508</v>
      </c>
      <c r="D39" s="9" t="s">
        <v>2458</v>
      </c>
      <c r="E39" s="9" t="s">
        <v>2509</v>
      </c>
    </row>
    <row r="40" customFormat="false" ht="15" hidden="false" customHeight="false" outlineLevel="0" collapsed="false">
      <c r="A40" s="9" t="s">
        <v>451</v>
      </c>
      <c r="B40" s="10" t="s">
        <v>2510</v>
      </c>
      <c r="C40" s="9" t="s">
        <v>2511</v>
      </c>
      <c r="D40" s="9" t="s">
        <v>2420</v>
      </c>
      <c r="E40" s="9" t="s">
        <v>2512</v>
      </c>
    </row>
    <row r="41" customFormat="false" ht="15" hidden="false" customHeight="false" outlineLevel="0" collapsed="false">
      <c r="A41" s="9" t="s">
        <v>427</v>
      </c>
      <c r="B41" s="10" t="s">
        <v>2513</v>
      </c>
      <c r="C41" s="9" t="s">
        <v>2514</v>
      </c>
      <c r="D41" s="9" t="s">
        <v>2458</v>
      </c>
      <c r="E41" s="9" t="s">
        <v>2515</v>
      </c>
    </row>
    <row r="42" customFormat="false" ht="15" hidden="false" customHeight="false" outlineLevel="0" collapsed="false">
      <c r="A42" s="9" t="s">
        <v>2516</v>
      </c>
      <c r="B42" s="10" t="s">
        <v>2517</v>
      </c>
      <c r="C42" s="9" t="s">
        <v>2518</v>
      </c>
      <c r="D42" s="9" t="s">
        <v>2450</v>
      </c>
      <c r="E42" s="9" t="s">
        <v>2519</v>
      </c>
    </row>
    <row r="43" customFormat="false" ht="23.85" hidden="false" customHeight="false" outlineLevel="0" collapsed="false">
      <c r="A43" s="9" t="s">
        <v>2520</v>
      </c>
      <c r="B43" s="10" t="s">
        <v>2521</v>
      </c>
      <c r="C43" s="9" t="s">
        <v>2522</v>
      </c>
      <c r="D43" s="9" t="s">
        <v>2523</v>
      </c>
      <c r="E43" s="9" t="s">
        <v>2519</v>
      </c>
    </row>
    <row r="44" customFormat="false" ht="15" hidden="false" customHeight="false" outlineLevel="0" collapsed="false">
      <c r="A44" s="9" t="s">
        <v>2520</v>
      </c>
      <c r="B44" s="10" t="s">
        <v>2524</v>
      </c>
      <c r="C44" s="9" t="s">
        <v>2525</v>
      </c>
      <c r="D44" s="9" t="s">
        <v>2523</v>
      </c>
      <c r="E44" s="9" t="s">
        <v>2519</v>
      </c>
    </row>
    <row r="45" customFormat="false" ht="23.85" hidden="false" customHeight="false" outlineLevel="0" collapsed="false">
      <c r="A45" s="9" t="s">
        <v>1217</v>
      </c>
      <c r="B45" s="10" t="s">
        <v>2526</v>
      </c>
      <c r="C45" s="9" t="s">
        <v>2527</v>
      </c>
      <c r="D45" s="9"/>
      <c r="E45" s="9" t="s">
        <v>2528</v>
      </c>
    </row>
    <row r="46" customFormat="false" ht="15" hidden="false" customHeight="false" outlineLevel="0" collapsed="false">
      <c r="A46" s="9" t="s">
        <v>2529</v>
      </c>
      <c r="B46" s="10" t="s">
        <v>2530</v>
      </c>
      <c r="C46" s="9" t="s">
        <v>2531</v>
      </c>
      <c r="D46" s="9" t="s">
        <v>2532</v>
      </c>
      <c r="E46" s="9" t="s">
        <v>2512</v>
      </c>
    </row>
    <row r="47" customFormat="false" ht="15" hidden="false" customHeight="false" outlineLevel="0" collapsed="false">
      <c r="A47" s="9" t="s">
        <v>1182</v>
      </c>
      <c r="B47" s="10" t="s">
        <v>2533</v>
      </c>
      <c r="C47" s="9" t="s">
        <v>2534</v>
      </c>
      <c r="D47" s="9"/>
      <c r="E47" s="9" t="s">
        <v>2535</v>
      </c>
    </row>
    <row r="48" customFormat="false" ht="15" hidden="false" customHeight="false" outlineLevel="0" collapsed="false">
      <c r="A48" s="9" t="s">
        <v>1209</v>
      </c>
      <c r="B48" s="10" t="s">
        <v>2536</v>
      </c>
      <c r="C48" s="9" t="s">
        <v>2537</v>
      </c>
      <c r="D48" s="9"/>
      <c r="E48" s="9" t="s">
        <v>2538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7A"/>
    <pageSetUpPr fitToPage="false"/>
  </sheetPr>
  <dimension ref="A1:F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7"/>
    <col collapsed="false" customWidth="true" hidden="false" outlineLevel="0" max="3" min="3" style="0" width="48"/>
    <col collapsed="false" customWidth="true" hidden="false" outlineLevel="0" max="5" min="4" style="0" width="16"/>
    <col collapsed="false" customWidth="true" hidden="false" outlineLevel="0" max="6" min="6" style="0" width="46"/>
  </cols>
  <sheetData>
    <row r="1" customFormat="false" ht="23.85" hidden="false" customHeight="false" outlineLevel="0" collapsed="false">
      <c r="A1" s="16" t="s">
        <v>2539</v>
      </c>
      <c r="B1" s="16" t="s">
        <v>2540</v>
      </c>
      <c r="C1" s="16" t="s">
        <v>22</v>
      </c>
      <c r="D1" s="16" t="s">
        <v>2541</v>
      </c>
      <c r="E1" s="16" t="s">
        <v>2542</v>
      </c>
      <c r="F1" s="16" t="s">
        <v>2543</v>
      </c>
    </row>
    <row r="2" customFormat="false" ht="15" hidden="false" customHeight="false" outlineLevel="0" collapsed="false">
      <c r="A2" s="10" t="s">
        <v>2544</v>
      </c>
      <c r="B2" s="9" t="n">
        <v>1</v>
      </c>
      <c r="C2" s="9" t="s">
        <v>39</v>
      </c>
      <c r="D2" s="9" t="str">
        <f aca="false">IFERROR(INDEX('Term Map'!$A$2:$A$319,MATCH(C2,'Term Map'!$D$2:$D$319,0)),"Not found")</f>
        <v>M01-001</v>
      </c>
      <c r="E2" s="9" t="str">
        <f aca="false">IFERROR(INDEX('Term Map'!$K$2:$K$319,MATCH(C2,'Term Map'!$D$2:$D$319,0)),"")</f>
        <v>Beginner</v>
      </c>
      <c r="F2" s="9" t="str">
        <f aca="false">IFERROR(INDEX('Term Map'!$B$2:$B$319,MATCH(C2,'Term Map'!$D$2:$D$319,0)),"")</f>
        <v>01 Foundations and Structure</v>
      </c>
    </row>
    <row r="3" customFormat="false" ht="15" hidden="false" customHeight="false" outlineLevel="0" collapsed="false">
      <c r="A3" s="9" t="s">
        <v>2544</v>
      </c>
      <c r="B3" s="9" t="n">
        <v>2</v>
      </c>
      <c r="C3" s="9" t="s">
        <v>52</v>
      </c>
      <c r="D3" s="9" t="str">
        <f aca="false">IFERROR(INDEX('Term Map'!$A$2:$A$319,MATCH(C3,'Term Map'!$D$2:$D$319,0)),"Not found")</f>
        <v>M01-002</v>
      </c>
      <c r="E3" s="9" t="str">
        <f aca="false">IFERROR(INDEX('Term Map'!$K$2:$K$319,MATCH(C3,'Term Map'!$D$2:$D$319,0)),"")</f>
        <v>Beginner</v>
      </c>
      <c r="F3" s="9" t="str">
        <f aca="false">IFERROR(INDEX('Term Map'!$B$2:$B$319,MATCH(C3,'Term Map'!$D$2:$D$319,0)),"")</f>
        <v>01 Foundations and Structure</v>
      </c>
    </row>
    <row r="4" customFormat="false" ht="15" hidden="false" customHeight="false" outlineLevel="0" collapsed="false">
      <c r="A4" s="9" t="s">
        <v>2544</v>
      </c>
      <c r="B4" s="9" t="n">
        <v>3</v>
      </c>
      <c r="C4" s="9" t="s">
        <v>191</v>
      </c>
      <c r="D4" s="9" t="str">
        <f aca="false">IFERROR(INDEX('Term Map'!$A$2:$A$319,MATCH(C4,'Term Map'!$D$2:$D$319,0)),"Not found")</f>
        <v>M02-001</v>
      </c>
      <c r="E4" s="9" t="str">
        <f aca="false">IFERROR(INDEX('Term Map'!$K$2:$K$319,MATCH(C4,'Term Map'!$D$2:$D$319,0)),"")</f>
        <v>Beginner</v>
      </c>
      <c r="F4" s="9" t="str">
        <f aca="false">IFERROR(INDEX('Term Map'!$B$2:$B$319,MATCH(C4,'Term Map'!$D$2:$D$319,0)),"")</f>
        <v>02 Assets and Locations</v>
      </c>
    </row>
    <row r="5" customFormat="false" ht="15" hidden="false" customHeight="false" outlineLevel="0" collapsed="false">
      <c r="A5" s="9" t="s">
        <v>2544</v>
      </c>
      <c r="B5" s="9" t="n">
        <v>4</v>
      </c>
      <c r="C5" s="9" t="s">
        <v>246</v>
      </c>
      <c r="D5" s="9" t="str">
        <f aca="false">IFERROR(INDEX('Term Map'!$A$2:$A$319,MATCH(C5,'Term Map'!$D$2:$D$319,0)),"Not found")</f>
        <v>M02-008</v>
      </c>
      <c r="E5" s="9" t="str">
        <f aca="false">IFERROR(INDEX('Term Map'!$K$2:$K$319,MATCH(C5,'Term Map'!$D$2:$D$319,0)),"")</f>
        <v>Beginner</v>
      </c>
      <c r="F5" s="9" t="str">
        <f aca="false">IFERROR(INDEX('Term Map'!$B$2:$B$319,MATCH(C5,'Term Map'!$D$2:$D$319,0)),"")</f>
        <v>02 Assets and Locations</v>
      </c>
    </row>
    <row r="6" customFormat="false" ht="15" hidden="false" customHeight="false" outlineLevel="0" collapsed="false">
      <c r="A6" s="9" t="s">
        <v>2544</v>
      </c>
      <c r="B6" s="9" t="n">
        <v>5</v>
      </c>
      <c r="C6" s="9" t="s">
        <v>255</v>
      </c>
      <c r="D6" s="9" t="str">
        <f aca="false">IFERROR(INDEX('Term Map'!$A$2:$A$319,MATCH(C6,'Term Map'!$D$2:$D$319,0)),"Not found")</f>
        <v>M02-009</v>
      </c>
      <c r="E6" s="9" t="str">
        <f aca="false">IFERROR(INDEX('Term Map'!$K$2:$K$319,MATCH(C6,'Term Map'!$D$2:$D$319,0)),"")</f>
        <v>Beginner</v>
      </c>
      <c r="F6" s="9" t="str">
        <f aca="false">IFERROR(INDEX('Term Map'!$B$2:$B$319,MATCH(C6,'Term Map'!$D$2:$D$319,0)),"")</f>
        <v>02 Assets and Locations</v>
      </c>
    </row>
    <row r="7" customFormat="false" ht="15" hidden="false" customHeight="false" outlineLevel="0" collapsed="false">
      <c r="A7" s="9" t="s">
        <v>2544</v>
      </c>
      <c r="B7" s="9" t="n">
        <v>6</v>
      </c>
      <c r="C7" s="9" t="s">
        <v>427</v>
      </c>
      <c r="D7" s="9" t="str">
        <f aca="false">IFERROR(INDEX('Term Map'!$A$2:$A$319,MATCH(C7,'Term Map'!$D$2:$D$319,0)),"Not found")</f>
        <v>M03-001</v>
      </c>
      <c r="E7" s="9" t="str">
        <f aca="false">IFERROR(INDEX('Term Map'!$K$2:$K$319,MATCH(C7,'Term Map'!$D$2:$D$319,0)),"")</f>
        <v>Beginner</v>
      </c>
      <c r="F7" s="9" t="str">
        <f aca="false">IFERROR(INDEX('Term Map'!$B$2:$B$319,MATCH(C7,'Term Map'!$D$2:$D$319,0)),"")</f>
        <v>03 Work Management</v>
      </c>
    </row>
    <row r="8" customFormat="false" ht="15" hidden="false" customHeight="false" outlineLevel="0" collapsed="false">
      <c r="A8" s="9" t="s">
        <v>2544</v>
      </c>
      <c r="B8" s="9" t="n">
        <v>7</v>
      </c>
      <c r="C8" s="9" t="s">
        <v>451</v>
      </c>
      <c r="D8" s="9" t="str">
        <f aca="false">IFERROR(INDEX('Term Map'!$A$2:$A$319,MATCH(C8,'Term Map'!$D$2:$D$319,0)),"Not found")</f>
        <v>M03-004</v>
      </c>
      <c r="E8" s="9" t="str">
        <f aca="false">IFERROR(INDEX('Term Map'!$K$2:$K$319,MATCH(C8,'Term Map'!$D$2:$D$319,0)),"")</f>
        <v>Beginner</v>
      </c>
      <c r="F8" s="9" t="str">
        <f aca="false">IFERROR(INDEX('Term Map'!$B$2:$B$319,MATCH(C8,'Term Map'!$D$2:$D$319,0)),"")</f>
        <v>03 Work Management</v>
      </c>
    </row>
    <row r="9" customFormat="false" ht="15" hidden="false" customHeight="false" outlineLevel="0" collapsed="false">
      <c r="A9" s="9" t="s">
        <v>2544</v>
      </c>
      <c r="B9" s="9" t="n">
        <v>8</v>
      </c>
      <c r="C9" s="9" t="s">
        <v>459</v>
      </c>
      <c r="D9" s="9" t="str">
        <f aca="false">IFERROR(INDEX('Term Map'!$A$2:$A$319,MATCH(C9,'Term Map'!$D$2:$D$319,0)),"Not found")</f>
        <v>M03-005</v>
      </c>
      <c r="E9" s="9" t="str">
        <f aca="false">IFERROR(INDEX('Term Map'!$K$2:$K$319,MATCH(C9,'Term Map'!$D$2:$D$319,0)),"")</f>
        <v>Beginner</v>
      </c>
      <c r="F9" s="9" t="str">
        <f aca="false">IFERROR(INDEX('Term Map'!$B$2:$B$319,MATCH(C9,'Term Map'!$D$2:$D$319,0)),"")</f>
        <v>03 Work Management</v>
      </c>
    </row>
    <row r="10" customFormat="false" ht="15" hidden="false" customHeight="false" outlineLevel="0" collapsed="false">
      <c r="A10" s="9" t="s">
        <v>2544</v>
      </c>
      <c r="B10" s="9" t="n">
        <v>9</v>
      </c>
      <c r="C10" s="9" t="s">
        <v>468</v>
      </c>
      <c r="D10" s="9" t="str">
        <f aca="false">IFERROR(INDEX('Term Map'!$A$2:$A$319,MATCH(C10,'Term Map'!$D$2:$D$319,0)),"Not found")</f>
        <v>M03-006</v>
      </c>
      <c r="E10" s="9" t="str">
        <f aca="false">IFERROR(INDEX('Term Map'!$K$2:$K$319,MATCH(C10,'Term Map'!$D$2:$D$319,0)),"")</f>
        <v>Beginner</v>
      </c>
      <c r="F10" s="9" t="str">
        <f aca="false">IFERROR(INDEX('Term Map'!$B$2:$B$319,MATCH(C10,'Term Map'!$D$2:$D$319,0)),"")</f>
        <v>03 Work Management</v>
      </c>
    </row>
    <row r="11" customFormat="false" ht="15" hidden="false" customHeight="false" outlineLevel="0" collapsed="false">
      <c r="A11" s="9" t="s">
        <v>2544</v>
      </c>
      <c r="B11" s="9" t="n">
        <v>10</v>
      </c>
      <c r="C11" s="9" t="s">
        <v>493</v>
      </c>
      <c r="D11" s="9" t="str">
        <f aca="false">IFERROR(INDEX('Term Map'!$A$2:$A$319,MATCH(C11,'Term Map'!$D$2:$D$319,0)),"Not found")</f>
        <v>M03-009</v>
      </c>
      <c r="E11" s="9" t="str">
        <f aca="false">IFERROR(INDEX('Term Map'!$K$2:$K$319,MATCH(C11,'Term Map'!$D$2:$D$319,0)),"")</f>
        <v>Beginner</v>
      </c>
      <c r="F11" s="9" t="str">
        <f aca="false">IFERROR(INDEX('Term Map'!$B$2:$B$319,MATCH(C11,'Term Map'!$D$2:$D$319,0)),"")</f>
        <v>03 Work Management</v>
      </c>
    </row>
    <row r="12" customFormat="false" ht="15" hidden="false" customHeight="false" outlineLevel="0" collapsed="false">
      <c r="A12" s="9" t="s">
        <v>2544</v>
      </c>
      <c r="B12" s="9" t="n">
        <v>11</v>
      </c>
      <c r="C12" s="9" t="s">
        <v>500</v>
      </c>
      <c r="D12" s="9" t="str">
        <f aca="false">IFERROR(INDEX('Term Map'!$A$2:$A$319,MATCH(C12,'Term Map'!$D$2:$D$319,0)),"Not found")</f>
        <v>M03-010</v>
      </c>
      <c r="E12" s="9" t="str">
        <f aca="false">IFERROR(INDEX('Term Map'!$K$2:$K$319,MATCH(C12,'Term Map'!$D$2:$D$319,0)),"")</f>
        <v>Beginner</v>
      </c>
      <c r="F12" s="9" t="str">
        <f aca="false">IFERROR(INDEX('Term Map'!$B$2:$B$319,MATCH(C12,'Term Map'!$D$2:$D$319,0)),"")</f>
        <v>03 Work Management</v>
      </c>
    </row>
    <row r="13" customFormat="false" ht="15" hidden="false" customHeight="false" outlineLevel="0" collapsed="false">
      <c r="A13" s="9" t="s">
        <v>2544</v>
      </c>
      <c r="B13" s="9" t="n">
        <v>12</v>
      </c>
      <c r="C13" s="9" t="s">
        <v>631</v>
      </c>
      <c r="D13" s="9" t="str">
        <f aca="false">IFERROR(INDEX('Term Map'!$A$2:$A$319,MATCH(C13,'Term Map'!$D$2:$D$319,0)),"Not found")</f>
        <v>M04-001</v>
      </c>
      <c r="E13" s="9" t="str">
        <f aca="false">IFERROR(INDEX('Term Map'!$K$2:$K$319,MATCH(C13,'Term Map'!$D$2:$D$319,0)),"")</f>
        <v>Beginner</v>
      </c>
      <c r="F13" s="9" t="str">
        <f aca="false">IFERROR(INDEX('Term Map'!$B$2:$B$319,MATCH(C13,'Term Map'!$D$2:$D$319,0)),"")</f>
        <v>04 Planning: Job Plans, PMs, Routes and Safety</v>
      </c>
    </row>
    <row r="14" customFormat="false" ht="15" hidden="false" customHeight="false" outlineLevel="0" collapsed="false">
      <c r="A14" s="9" t="s">
        <v>2544</v>
      </c>
      <c r="B14" s="9" t="n">
        <v>13</v>
      </c>
      <c r="C14" s="9" t="s">
        <v>668</v>
      </c>
      <c r="D14" s="9" t="str">
        <f aca="false">IFERROR(INDEX('Term Map'!$A$2:$A$319,MATCH(C14,'Term Map'!$D$2:$D$319,0)),"Not found")</f>
        <v>M04-006</v>
      </c>
      <c r="E14" s="9" t="str">
        <f aca="false">IFERROR(INDEX('Term Map'!$K$2:$K$319,MATCH(C14,'Term Map'!$D$2:$D$319,0)),"")</f>
        <v>Beginner</v>
      </c>
      <c r="F14" s="9" t="str">
        <f aca="false">IFERROR(INDEX('Term Map'!$B$2:$B$319,MATCH(C14,'Term Map'!$D$2:$D$319,0)),"")</f>
        <v>04 Planning: Job Plans, PMs, Routes and Safety</v>
      </c>
    </row>
    <row r="15" customFormat="false" ht="15" hidden="false" customHeight="false" outlineLevel="0" collapsed="false">
      <c r="A15" s="9" t="s">
        <v>2544</v>
      </c>
      <c r="B15" s="9" t="n">
        <v>14</v>
      </c>
      <c r="C15" s="9" t="s">
        <v>799</v>
      </c>
      <c r="D15" s="9" t="str">
        <f aca="false">IFERROR(INDEX('Term Map'!$A$2:$A$319,MATCH(C15,'Term Map'!$D$2:$D$319,0)),"Not found")</f>
        <v>M05-001</v>
      </c>
      <c r="E15" s="9" t="str">
        <f aca="false">IFERROR(INDEX('Term Map'!$K$2:$K$319,MATCH(C15,'Term Map'!$D$2:$D$319,0)),"")</f>
        <v>Beginner</v>
      </c>
      <c r="F15" s="9" t="str">
        <f aca="false">IFERROR(INDEX('Term Map'!$B$2:$B$319,MATCH(C15,'Term Map'!$D$2:$D$319,0)),"")</f>
        <v>05 Inventory and Storerooms</v>
      </c>
    </row>
    <row r="16" customFormat="false" ht="15" hidden="false" customHeight="false" outlineLevel="0" collapsed="false">
      <c r="A16" s="9" t="s">
        <v>2544</v>
      </c>
      <c r="B16" s="9" t="n">
        <v>15</v>
      </c>
      <c r="C16" s="9" t="s">
        <v>868</v>
      </c>
      <c r="D16" s="9" t="str">
        <f aca="false">IFERROR(INDEX('Term Map'!$A$2:$A$319,MATCH(C16,'Term Map'!$D$2:$D$319,0)),"Not found")</f>
        <v>M05-011</v>
      </c>
      <c r="E16" s="9" t="str">
        <f aca="false">IFERROR(INDEX('Term Map'!$K$2:$K$319,MATCH(C16,'Term Map'!$D$2:$D$319,0)),"")</f>
        <v>Beginner</v>
      </c>
      <c r="F16" s="9" t="str">
        <f aca="false">IFERROR(INDEX('Term Map'!$B$2:$B$319,MATCH(C16,'Term Map'!$D$2:$D$319,0)),"")</f>
        <v>05 Inventory and Storerooms</v>
      </c>
    </row>
    <row r="17" customFormat="false" ht="15" hidden="false" customHeight="false" outlineLevel="0" collapsed="false">
      <c r="A17" s="9" t="s">
        <v>2544</v>
      </c>
      <c r="B17" s="9" t="n">
        <v>16</v>
      </c>
      <c r="C17" s="9" t="s">
        <v>168</v>
      </c>
      <c r="D17" s="9" t="str">
        <f aca="false">IFERROR(INDEX('Term Map'!$A$2:$A$319,MATCH(C17,'Term Map'!$D$2:$D$319,0)),"Not found")</f>
        <v>M01-017</v>
      </c>
      <c r="E17" s="9" t="str">
        <f aca="false">IFERROR(INDEX('Term Map'!$K$2:$K$319,MATCH(C17,'Term Map'!$D$2:$D$319,0)),"")</f>
        <v>Beginner</v>
      </c>
      <c r="F17" s="9" t="str">
        <f aca="false">IFERROR(INDEX('Term Map'!$B$2:$B$319,MATCH(C17,'Term Map'!$D$2:$D$319,0)),"")</f>
        <v>01 Foundations and Structure</v>
      </c>
    </row>
    <row r="18" customFormat="false" ht="15" hidden="false" customHeight="false" outlineLevel="0" collapsed="false">
      <c r="A18" s="10" t="s">
        <v>2545</v>
      </c>
      <c r="B18" s="9" t="n">
        <v>1</v>
      </c>
      <c r="C18" s="9" t="s">
        <v>607</v>
      </c>
      <c r="D18" s="9" t="str">
        <f aca="false">IFERROR(INDEX('Term Map'!$A$2:$A$319,MATCH(C18,'Term Map'!$D$2:$D$319,0)),"Not found")</f>
        <v>M03-025</v>
      </c>
      <c r="E18" s="9" t="str">
        <f aca="false">IFERROR(INDEX('Term Map'!$K$2:$K$319,MATCH(C18,'Term Map'!$D$2:$D$319,0)),"")</f>
        <v>Beginner</v>
      </c>
      <c r="F18" s="9" t="str">
        <f aca="false">IFERROR(INDEX('Term Map'!$B$2:$B$319,MATCH(C18,'Term Map'!$D$2:$D$319,0)),"")</f>
        <v>03 Work Management</v>
      </c>
    </row>
    <row r="19" customFormat="false" ht="15" hidden="false" customHeight="false" outlineLevel="0" collapsed="false">
      <c r="A19" s="9" t="s">
        <v>2545</v>
      </c>
      <c r="B19" s="9" t="n">
        <v>2</v>
      </c>
      <c r="C19" s="9" t="s">
        <v>1273</v>
      </c>
      <c r="D19" s="9" t="str">
        <f aca="false">IFERROR(INDEX('Term Map'!$A$2:$A$319,MATCH(C19,'Term Map'!$D$2:$D$319,0)),"Not found")</f>
        <v>M07-013</v>
      </c>
      <c r="E19" s="9" t="str">
        <f aca="false">IFERROR(INDEX('Term Map'!$K$2:$K$319,MATCH(C19,'Term Map'!$D$2:$D$319,0)),"")</f>
        <v>Beginner</v>
      </c>
      <c r="F19" s="9" t="str">
        <f aca="false">IFERROR(INDEX('Term Map'!$B$2:$B$319,MATCH(C19,'Term Map'!$D$2:$D$319,0)),"")</f>
        <v>07 Labor, Crafts and Scheduling</v>
      </c>
    </row>
    <row r="20" customFormat="false" ht="15" hidden="false" customHeight="false" outlineLevel="0" collapsed="false">
      <c r="A20" s="9" t="s">
        <v>2545</v>
      </c>
      <c r="B20" s="9" t="n">
        <v>3</v>
      </c>
      <c r="C20" s="9" t="s">
        <v>631</v>
      </c>
      <c r="D20" s="9" t="str">
        <f aca="false">IFERROR(INDEX('Term Map'!$A$2:$A$319,MATCH(C20,'Term Map'!$D$2:$D$319,0)),"Not found")</f>
        <v>M04-001</v>
      </c>
      <c r="E20" s="9" t="str">
        <f aca="false">IFERROR(INDEX('Term Map'!$K$2:$K$319,MATCH(C20,'Term Map'!$D$2:$D$319,0)),"")</f>
        <v>Beginner</v>
      </c>
      <c r="F20" s="9" t="str">
        <f aca="false">IFERROR(INDEX('Term Map'!$B$2:$B$319,MATCH(C20,'Term Map'!$D$2:$D$319,0)),"")</f>
        <v>04 Planning: Job Plans, PMs, Routes and Safety</v>
      </c>
    </row>
    <row r="21" customFormat="false" ht="15" hidden="false" customHeight="false" outlineLevel="0" collapsed="false">
      <c r="A21" s="9" t="s">
        <v>2545</v>
      </c>
      <c r="B21" s="9" t="n">
        <v>4</v>
      </c>
      <c r="C21" s="9" t="s">
        <v>660</v>
      </c>
      <c r="D21" s="9" t="str">
        <f aca="false">IFERROR(INDEX('Term Map'!$A$2:$A$319,MATCH(C21,'Term Map'!$D$2:$D$319,0)),"Not found")</f>
        <v>M04-005</v>
      </c>
      <c r="E21" s="9" t="str">
        <f aca="false">IFERROR(INDEX('Term Map'!$K$2:$K$319,MATCH(C21,'Term Map'!$D$2:$D$319,0)),"")</f>
        <v>Beginner</v>
      </c>
      <c r="F21" s="9" t="str">
        <f aca="false">IFERROR(INDEX('Term Map'!$B$2:$B$319,MATCH(C21,'Term Map'!$D$2:$D$319,0)),"")</f>
        <v>04 Planning: Job Plans, PMs, Routes and Safety</v>
      </c>
    </row>
    <row r="22" customFormat="false" ht="15" hidden="false" customHeight="false" outlineLevel="0" collapsed="false">
      <c r="A22" s="9" t="s">
        <v>2545</v>
      </c>
      <c r="B22" s="9" t="n">
        <v>5</v>
      </c>
      <c r="C22" s="9" t="s">
        <v>493</v>
      </c>
      <c r="D22" s="9" t="str">
        <f aca="false">IFERROR(INDEX('Term Map'!$A$2:$A$319,MATCH(C22,'Term Map'!$D$2:$D$319,0)),"Not found")</f>
        <v>M03-009</v>
      </c>
      <c r="E22" s="9" t="str">
        <f aca="false">IFERROR(INDEX('Term Map'!$K$2:$K$319,MATCH(C22,'Term Map'!$D$2:$D$319,0)),"")</f>
        <v>Beginner</v>
      </c>
      <c r="F22" s="9" t="str">
        <f aca="false">IFERROR(INDEX('Term Map'!$B$2:$B$319,MATCH(C22,'Term Map'!$D$2:$D$319,0)),"")</f>
        <v>03 Work Management</v>
      </c>
    </row>
    <row r="23" customFormat="false" ht="15" hidden="false" customHeight="false" outlineLevel="0" collapsed="false">
      <c r="A23" s="9" t="s">
        <v>2545</v>
      </c>
      <c r="B23" s="9" t="n">
        <v>6</v>
      </c>
      <c r="C23" s="9" t="s">
        <v>897</v>
      </c>
      <c r="D23" s="9" t="str">
        <f aca="false">IFERROR(INDEX('Term Map'!$A$2:$A$319,MATCH(C23,'Term Map'!$D$2:$D$319,0)),"Not found")</f>
        <v>M05-015</v>
      </c>
      <c r="E23" s="9" t="str">
        <f aca="false">IFERROR(INDEX('Term Map'!$K$2:$K$319,MATCH(C23,'Term Map'!$D$2:$D$319,0)),"")</f>
        <v>Intermediate</v>
      </c>
      <c r="F23" s="9" t="str">
        <f aca="false">IFERROR(INDEX('Term Map'!$B$2:$B$319,MATCH(C23,'Term Map'!$D$2:$D$319,0)),"")</f>
        <v>05 Inventory and Storerooms</v>
      </c>
    </row>
    <row r="24" customFormat="false" ht="15" hidden="false" customHeight="false" outlineLevel="0" collapsed="false">
      <c r="A24" s="9" t="s">
        <v>2545</v>
      </c>
      <c r="B24" s="9" t="n">
        <v>7</v>
      </c>
      <c r="C24" s="9" t="s">
        <v>535</v>
      </c>
      <c r="D24" s="9" t="str">
        <f aca="false">IFERROR(INDEX('Term Map'!$A$2:$A$319,MATCH(C24,'Term Map'!$D$2:$D$319,0)),"Not found")</f>
        <v>M03-015</v>
      </c>
      <c r="E24" s="9" t="str">
        <f aca="false">IFERROR(INDEX('Term Map'!$K$2:$K$319,MATCH(C24,'Term Map'!$D$2:$D$319,0)),"")</f>
        <v>Intermediate</v>
      </c>
      <c r="F24" s="9" t="str">
        <f aca="false">IFERROR(INDEX('Term Map'!$B$2:$B$319,MATCH(C24,'Term Map'!$D$2:$D$319,0)),"")</f>
        <v>03 Work Management</v>
      </c>
    </row>
    <row r="25" customFormat="false" ht="15" hidden="false" customHeight="false" outlineLevel="0" collapsed="false">
      <c r="A25" s="9" t="s">
        <v>2545</v>
      </c>
      <c r="B25" s="9" t="n">
        <v>8</v>
      </c>
      <c r="C25" s="9" t="s">
        <v>697</v>
      </c>
      <c r="D25" s="9" t="str">
        <f aca="false">IFERROR(INDEX('Term Map'!$A$2:$A$319,MATCH(C25,'Term Map'!$D$2:$D$319,0)),"Not found")</f>
        <v>M04-010</v>
      </c>
      <c r="E25" s="9" t="str">
        <f aca="false">IFERROR(INDEX('Term Map'!$K$2:$K$319,MATCH(C25,'Term Map'!$D$2:$D$319,0)),"")</f>
        <v>Beginner</v>
      </c>
      <c r="F25" s="9" t="str">
        <f aca="false">IFERROR(INDEX('Term Map'!$B$2:$B$319,MATCH(C25,'Term Map'!$D$2:$D$319,0)),"")</f>
        <v>04 Planning: Job Plans, PMs, Routes and Safety</v>
      </c>
    </row>
    <row r="26" customFormat="false" ht="15" hidden="false" customHeight="false" outlineLevel="0" collapsed="false">
      <c r="A26" s="9" t="s">
        <v>2545</v>
      </c>
      <c r="B26" s="9" t="n">
        <v>9</v>
      </c>
      <c r="C26" s="9" t="s">
        <v>1288</v>
      </c>
      <c r="D26" s="9" t="str">
        <f aca="false">IFERROR(INDEX('Term Map'!$A$2:$A$319,MATCH(C26,'Term Map'!$D$2:$D$319,0)),"Not found")</f>
        <v>M07-015</v>
      </c>
      <c r="E26" s="9" t="str">
        <f aca="false">IFERROR(INDEX('Term Map'!$K$2:$K$319,MATCH(C26,'Term Map'!$D$2:$D$319,0)),"")</f>
        <v>Intermediate</v>
      </c>
      <c r="F26" s="9" t="str">
        <f aca="false">IFERROR(INDEX('Term Map'!$B$2:$B$319,MATCH(C26,'Term Map'!$D$2:$D$319,0)),"")</f>
        <v>07 Labor, Crafts and Scheduling</v>
      </c>
    </row>
    <row r="27" customFormat="false" ht="15" hidden="false" customHeight="false" outlineLevel="0" collapsed="false">
      <c r="A27" s="9" t="s">
        <v>2545</v>
      </c>
      <c r="B27" s="9" t="n">
        <v>10</v>
      </c>
      <c r="C27" s="9" t="s">
        <v>1295</v>
      </c>
      <c r="D27" s="9" t="str">
        <f aca="false">IFERROR(INDEX('Term Map'!$A$2:$A$319,MATCH(C27,'Term Map'!$D$2:$D$319,0)),"Not found")</f>
        <v>M07-016</v>
      </c>
      <c r="E27" s="9" t="str">
        <f aca="false">IFERROR(INDEX('Term Map'!$K$2:$K$319,MATCH(C27,'Term Map'!$D$2:$D$319,0)),"")</f>
        <v>Intermediate</v>
      </c>
      <c r="F27" s="9" t="str">
        <f aca="false">IFERROR(INDEX('Term Map'!$B$2:$B$319,MATCH(C27,'Term Map'!$D$2:$D$319,0)),"")</f>
        <v>07 Labor, Crafts and Scheduling</v>
      </c>
    </row>
    <row r="28" customFormat="false" ht="15" hidden="false" customHeight="false" outlineLevel="0" collapsed="false">
      <c r="A28" s="9" t="s">
        <v>2545</v>
      </c>
      <c r="B28" s="9" t="n">
        <v>11</v>
      </c>
      <c r="C28" s="9" t="s">
        <v>2363</v>
      </c>
      <c r="D28" s="9" t="str">
        <f aca="false">IFERROR(INDEX('Term Map'!$A$2:$A$319,MATCH(C28,'Term Map'!$D$2:$D$319,0)),"Not found")</f>
        <v>M14-020</v>
      </c>
      <c r="E28" s="9" t="str">
        <f aca="false">IFERROR(INDEX('Term Map'!$K$2:$K$319,MATCH(C28,'Term Map'!$D$2:$D$319,0)),"")</f>
        <v>Beginner</v>
      </c>
      <c r="F28" s="9" t="str">
        <f aca="false">IFERROR(INDEX('Term Map'!$B$2:$B$319,MATCH(C28,'Term Map'!$D$2:$D$319,0)),"")</f>
        <v>14 Maintenance and Reliability Concepts</v>
      </c>
    </row>
    <row r="29" customFormat="false" ht="15" hidden="false" customHeight="false" outlineLevel="0" collapsed="false">
      <c r="A29" s="9" t="s">
        <v>2545</v>
      </c>
      <c r="B29" s="9" t="n">
        <v>12</v>
      </c>
      <c r="C29" s="9" t="s">
        <v>371</v>
      </c>
      <c r="D29" s="9" t="str">
        <f aca="false">IFERROR(INDEX('Term Map'!$A$2:$A$319,MATCH(C29,'Term Map'!$D$2:$D$319,0)),"Not found")</f>
        <v>M02-024</v>
      </c>
      <c r="E29" s="9" t="str">
        <f aca="false">IFERROR(INDEX('Term Map'!$K$2:$K$319,MATCH(C29,'Term Map'!$D$2:$D$319,0)),"")</f>
        <v>Intermediate</v>
      </c>
      <c r="F29" s="9" t="str">
        <f aca="false">IFERROR(INDEX('Term Map'!$B$2:$B$319,MATCH(C29,'Term Map'!$D$2:$D$319,0)),"")</f>
        <v>02 Assets and Locations</v>
      </c>
    </row>
    <row r="30" customFormat="false" ht="15" hidden="false" customHeight="false" outlineLevel="0" collapsed="false">
      <c r="A30" s="10" t="s">
        <v>2546</v>
      </c>
      <c r="B30" s="9" t="n">
        <v>1</v>
      </c>
      <c r="C30" s="9" t="s">
        <v>799</v>
      </c>
      <c r="D30" s="9" t="str">
        <f aca="false">IFERROR(INDEX('Term Map'!$A$2:$A$319,MATCH(C30,'Term Map'!$D$2:$D$319,0)),"Not found")</f>
        <v>M05-001</v>
      </c>
      <c r="E30" s="9" t="str">
        <f aca="false">IFERROR(INDEX('Term Map'!$K$2:$K$319,MATCH(C30,'Term Map'!$D$2:$D$319,0)),"")</f>
        <v>Beginner</v>
      </c>
      <c r="F30" s="9" t="str">
        <f aca="false">IFERROR(INDEX('Term Map'!$B$2:$B$319,MATCH(C30,'Term Map'!$D$2:$D$319,0)),"")</f>
        <v>05 Inventory and Storerooms</v>
      </c>
    </row>
    <row r="31" customFormat="false" ht="15" hidden="false" customHeight="false" outlineLevel="0" collapsed="false">
      <c r="A31" s="9" t="s">
        <v>2546</v>
      </c>
      <c r="B31" s="9" t="n">
        <v>2</v>
      </c>
      <c r="C31" s="9" t="s">
        <v>808</v>
      </c>
      <c r="D31" s="9" t="str">
        <f aca="false">IFERROR(INDEX('Term Map'!$A$2:$A$319,MATCH(C31,'Term Map'!$D$2:$D$319,0)),"Not found")</f>
        <v>M05-002</v>
      </c>
      <c r="E31" s="9" t="str">
        <f aca="false">IFERROR(INDEX('Term Map'!$K$2:$K$319,MATCH(C31,'Term Map'!$D$2:$D$319,0)),"")</f>
        <v>Beginner</v>
      </c>
      <c r="F31" s="9" t="str">
        <f aca="false">IFERROR(INDEX('Term Map'!$B$2:$B$319,MATCH(C31,'Term Map'!$D$2:$D$319,0)),"")</f>
        <v>05 Inventory and Storerooms</v>
      </c>
    </row>
    <row r="32" customFormat="false" ht="15" hidden="false" customHeight="false" outlineLevel="0" collapsed="false">
      <c r="A32" s="9" t="s">
        <v>2546</v>
      </c>
      <c r="B32" s="9" t="n">
        <v>3</v>
      </c>
      <c r="C32" s="9" t="s">
        <v>868</v>
      </c>
      <c r="D32" s="9" t="str">
        <f aca="false">IFERROR(INDEX('Term Map'!$A$2:$A$319,MATCH(C32,'Term Map'!$D$2:$D$319,0)),"Not found")</f>
        <v>M05-011</v>
      </c>
      <c r="E32" s="9" t="str">
        <f aca="false">IFERROR(INDEX('Term Map'!$K$2:$K$319,MATCH(C32,'Term Map'!$D$2:$D$319,0)),"")</f>
        <v>Beginner</v>
      </c>
      <c r="F32" s="9" t="str">
        <f aca="false">IFERROR(INDEX('Term Map'!$B$2:$B$319,MATCH(C32,'Term Map'!$D$2:$D$319,0)),"")</f>
        <v>05 Inventory and Storerooms</v>
      </c>
    </row>
    <row r="33" customFormat="false" ht="15" hidden="false" customHeight="false" outlineLevel="0" collapsed="false">
      <c r="A33" s="9" t="s">
        <v>2546</v>
      </c>
      <c r="B33" s="9" t="n">
        <v>4</v>
      </c>
      <c r="C33" s="9" t="s">
        <v>876</v>
      </c>
      <c r="D33" s="9" t="str">
        <f aca="false">IFERROR(INDEX('Term Map'!$A$2:$A$319,MATCH(C33,'Term Map'!$D$2:$D$319,0)),"Not found")</f>
        <v>M05-012</v>
      </c>
      <c r="E33" s="9" t="str">
        <f aca="false">IFERROR(INDEX('Term Map'!$K$2:$K$319,MATCH(C33,'Term Map'!$D$2:$D$319,0)),"")</f>
        <v>Beginner</v>
      </c>
      <c r="F33" s="9" t="str">
        <f aca="false">IFERROR(INDEX('Term Map'!$B$2:$B$319,MATCH(C33,'Term Map'!$D$2:$D$319,0)),"")</f>
        <v>05 Inventory and Storerooms</v>
      </c>
    </row>
    <row r="34" customFormat="false" ht="15" hidden="false" customHeight="false" outlineLevel="0" collapsed="false">
      <c r="A34" s="9" t="s">
        <v>2546</v>
      </c>
      <c r="B34" s="9" t="n">
        <v>5</v>
      </c>
      <c r="C34" s="9" t="s">
        <v>883</v>
      </c>
      <c r="D34" s="9" t="str">
        <f aca="false">IFERROR(INDEX('Term Map'!$A$2:$A$319,MATCH(C34,'Term Map'!$D$2:$D$319,0)),"Not found")</f>
        <v>M05-013</v>
      </c>
      <c r="E34" s="9" t="str">
        <f aca="false">IFERROR(INDEX('Term Map'!$K$2:$K$319,MATCH(C34,'Term Map'!$D$2:$D$319,0)),"")</f>
        <v>Beginner</v>
      </c>
      <c r="F34" s="9" t="str">
        <f aca="false">IFERROR(INDEX('Term Map'!$B$2:$B$319,MATCH(C34,'Term Map'!$D$2:$D$319,0)),"")</f>
        <v>05 Inventory and Storerooms</v>
      </c>
    </row>
    <row r="35" customFormat="false" ht="15" hidden="false" customHeight="false" outlineLevel="0" collapsed="false">
      <c r="A35" s="9" t="s">
        <v>2546</v>
      </c>
      <c r="B35" s="9" t="n">
        <v>6</v>
      </c>
      <c r="C35" s="9" t="s">
        <v>891</v>
      </c>
      <c r="D35" s="9" t="str">
        <f aca="false">IFERROR(INDEX('Term Map'!$A$2:$A$319,MATCH(C35,'Term Map'!$D$2:$D$319,0)),"Not found")</f>
        <v>M05-014</v>
      </c>
      <c r="E35" s="9" t="str">
        <f aca="false">IFERROR(INDEX('Term Map'!$K$2:$K$319,MATCH(C35,'Term Map'!$D$2:$D$319,0)),"")</f>
        <v>Intermediate</v>
      </c>
      <c r="F35" s="9" t="str">
        <f aca="false">IFERROR(INDEX('Term Map'!$B$2:$B$319,MATCH(C35,'Term Map'!$D$2:$D$319,0)),"")</f>
        <v>05 Inventory and Storerooms</v>
      </c>
    </row>
    <row r="36" customFormat="false" ht="15" hidden="false" customHeight="false" outlineLevel="0" collapsed="false">
      <c r="A36" s="9" t="s">
        <v>2546</v>
      </c>
      <c r="B36" s="9" t="n">
        <v>7</v>
      </c>
      <c r="C36" s="9" t="s">
        <v>904</v>
      </c>
      <c r="D36" s="9" t="str">
        <f aca="false">IFERROR(INDEX('Term Map'!$A$2:$A$319,MATCH(C36,'Term Map'!$D$2:$D$319,0)),"Not found")</f>
        <v>M05-016</v>
      </c>
      <c r="E36" s="9" t="str">
        <f aca="false">IFERROR(INDEX('Term Map'!$K$2:$K$319,MATCH(C36,'Term Map'!$D$2:$D$319,0)),"")</f>
        <v>Beginner</v>
      </c>
      <c r="F36" s="9" t="str">
        <f aca="false">IFERROR(INDEX('Term Map'!$B$2:$B$319,MATCH(C36,'Term Map'!$D$2:$D$319,0)),"")</f>
        <v>05 Inventory and Storerooms</v>
      </c>
    </row>
    <row r="37" customFormat="false" ht="15" hidden="false" customHeight="false" outlineLevel="0" collapsed="false">
      <c r="A37" s="9" t="s">
        <v>2546</v>
      </c>
      <c r="B37" s="9" t="n">
        <v>8</v>
      </c>
      <c r="C37" s="9" t="s">
        <v>911</v>
      </c>
      <c r="D37" s="9" t="str">
        <f aca="false">IFERROR(INDEX('Term Map'!$A$2:$A$319,MATCH(C37,'Term Map'!$D$2:$D$319,0)),"Not found")</f>
        <v>M05-017</v>
      </c>
      <c r="E37" s="9" t="str">
        <f aca="false">IFERROR(INDEX('Term Map'!$K$2:$K$319,MATCH(C37,'Term Map'!$D$2:$D$319,0)),"")</f>
        <v>Beginner</v>
      </c>
      <c r="F37" s="9" t="str">
        <f aca="false">IFERROR(INDEX('Term Map'!$B$2:$B$319,MATCH(C37,'Term Map'!$D$2:$D$319,0)),"")</f>
        <v>05 Inventory and Storerooms</v>
      </c>
    </row>
    <row r="38" customFormat="false" ht="15" hidden="false" customHeight="false" outlineLevel="0" collapsed="false">
      <c r="A38" s="9" t="s">
        <v>2546</v>
      </c>
      <c r="B38" s="9" t="n">
        <v>9</v>
      </c>
      <c r="C38" s="9" t="s">
        <v>917</v>
      </c>
      <c r="D38" s="9" t="str">
        <f aca="false">IFERROR(INDEX('Term Map'!$A$2:$A$319,MATCH(C38,'Term Map'!$D$2:$D$319,0)),"Not found")</f>
        <v>M05-018</v>
      </c>
      <c r="E38" s="9" t="str">
        <f aca="false">IFERROR(INDEX('Term Map'!$K$2:$K$319,MATCH(C38,'Term Map'!$D$2:$D$319,0)),"")</f>
        <v>Intermediate</v>
      </c>
      <c r="F38" s="9" t="str">
        <f aca="false">IFERROR(INDEX('Term Map'!$B$2:$B$319,MATCH(C38,'Term Map'!$D$2:$D$319,0)),"")</f>
        <v>05 Inventory and Storerooms</v>
      </c>
    </row>
    <row r="39" customFormat="false" ht="15" hidden="false" customHeight="false" outlineLevel="0" collapsed="false">
      <c r="A39" s="9" t="s">
        <v>2546</v>
      </c>
      <c r="B39" s="9" t="n">
        <v>10</v>
      </c>
      <c r="C39" s="9" t="s">
        <v>968</v>
      </c>
      <c r="D39" s="9" t="str">
        <f aca="false">IFERROR(INDEX('Term Map'!$A$2:$A$319,MATCH(C39,'Term Map'!$D$2:$D$319,0)),"Not found")</f>
        <v>M05-025</v>
      </c>
      <c r="E39" s="9" t="str">
        <f aca="false">IFERROR(INDEX('Term Map'!$K$2:$K$319,MATCH(C39,'Term Map'!$D$2:$D$319,0)),"")</f>
        <v>Beginner</v>
      </c>
      <c r="F39" s="9" t="str">
        <f aca="false">IFERROR(INDEX('Term Map'!$B$2:$B$319,MATCH(C39,'Term Map'!$D$2:$D$319,0)),"")</f>
        <v>05 Inventory and Storerooms</v>
      </c>
    </row>
    <row r="40" customFormat="false" ht="15" hidden="false" customHeight="false" outlineLevel="0" collapsed="false">
      <c r="A40" s="9" t="s">
        <v>2546</v>
      </c>
      <c r="B40" s="9" t="n">
        <v>11</v>
      </c>
      <c r="C40" s="9" t="s">
        <v>976</v>
      </c>
      <c r="D40" s="9" t="str">
        <f aca="false">IFERROR(INDEX('Term Map'!$A$2:$A$319,MATCH(C40,'Term Map'!$D$2:$D$319,0)),"Not found")</f>
        <v>M05-026</v>
      </c>
      <c r="E40" s="9" t="str">
        <f aca="false">IFERROR(INDEX('Term Map'!$K$2:$K$319,MATCH(C40,'Term Map'!$D$2:$D$319,0)),"")</f>
        <v>Intermediate</v>
      </c>
      <c r="F40" s="9" t="str">
        <f aca="false">IFERROR(INDEX('Term Map'!$B$2:$B$319,MATCH(C40,'Term Map'!$D$2:$D$319,0)),"")</f>
        <v>05 Inventory and Storerooms</v>
      </c>
    </row>
    <row r="41" customFormat="false" ht="15" hidden="false" customHeight="false" outlineLevel="0" collapsed="false">
      <c r="A41" s="9" t="s">
        <v>2546</v>
      </c>
      <c r="B41" s="9" t="n">
        <v>12</v>
      </c>
      <c r="C41" s="9" t="s">
        <v>984</v>
      </c>
      <c r="D41" s="9" t="str">
        <f aca="false">IFERROR(INDEX('Term Map'!$A$2:$A$319,MATCH(C41,'Term Map'!$D$2:$D$319,0)),"Not found")</f>
        <v>M05-027</v>
      </c>
      <c r="E41" s="9" t="str">
        <f aca="false">IFERROR(INDEX('Term Map'!$K$2:$K$319,MATCH(C41,'Term Map'!$D$2:$D$319,0)),"")</f>
        <v>Intermediate</v>
      </c>
      <c r="F41" s="9" t="str">
        <f aca="false">IFERROR(INDEX('Term Map'!$B$2:$B$319,MATCH(C41,'Term Map'!$D$2:$D$319,0)),"")</f>
        <v>05 Inventory and Storerooms</v>
      </c>
    </row>
    <row r="42" customFormat="false" ht="15" hidden="false" customHeight="false" outlineLevel="0" collapsed="false">
      <c r="A42" s="9" t="s">
        <v>2546</v>
      </c>
      <c r="B42" s="9" t="n">
        <v>13</v>
      </c>
      <c r="C42" s="9" t="s">
        <v>990</v>
      </c>
      <c r="D42" s="9" t="str">
        <f aca="false">IFERROR(INDEX('Term Map'!$A$2:$A$319,MATCH(C42,'Term Map'!$D$2:$D$319,0)),"Not found")</f>
        <v>M05-028</v>
      </c>
      <c r="E42" s="9" t="str">
        <f aca="false">IFERROR(INDEX('Term Map'!$K$2:$K$319,MATCH(C42,'Term Map'!$D$2:$D$319,0)),"")</f>
        <v>Intermediate</v>
      </c>
      <c r="F42" s="9" t="str">
        <f aca="false">IFERROR(INDEX('Term Map'!$B$2:$B$319,MATCH(C42,'Term Map'!$D$2:$D$319,0)),"")</f>
        <v>05 Inventory and Storerooms</v>
      </c>
    </row>
    <row r="43" customFormat="false" ht="15" hidden="false" customHeight="false" outlineLevel="0" collapsed="false">
      <c r="A43" s="9" t="s">
        <v>2546</v>
      </c>
      <c r="B43" s="9" t="n">
        <v>14</v>
      </c>
      <c r="C43" s="9" t="s">
        <v>1014</v>
      </c>
      <c r="D43" s="9" t="str">
        <f aca="false">IFERROR(INDEX('Term Map'!$A$2:$A$319,MATCH(C43,'Term Map'!$D$2:$D$319,0)),"Not found")</f>
        <v>M06-001</v>
      </c>
      <c r="E43" s="9" t="str">
        <f aca="false">IFERROR(INDEX('Term Map'!$K$2:$K$319,MATCH(C43,'Term Map'!$D$2:$D$319,0)),"")</f>
        <v>Beginner</v>
      </c>
      <c r="F43" s="9" t="str">
        <f aca="false">IFERROR(INDEX('Term Map'!$B$2:$B$319,MATCH(C43,'Term Map'!$D$2:$D$319,0)),"")</f>
        <v>06 Purchasing and Contracts</v>
      </c>
    </row>
    <row r="44" customFormat="false" ht="15" hidden="false" customHeight="false" outlineLevel="0" collapsed="false">
      <c r="A44" s="9" t="s">
        <v>2546</v>
      </c>
      <c r="B44" s="9" t="n">
        <v>15</v>
      </c>
      <c r="C44" s="9" t="s">
        <v>1038</v>
      </c>
      <c r="D44" s="9" t="str">
        <f aca="false">IFERROR(INDEX('Term Map'!$A$2:$A$319,MATCH(C44,'Term Map'!$D$2:$D$319,0)),"Not found")</f>
        <v>M06-004</v>
      </c>
      <c r="E44" s="9" t="str">
        <f aca="false">IFERROR(INDEX('Term Map'!$K$2:$K$319,MATCH(C44,'Term Map'!$D$2:$D$319,0)),"")</f>
        <v>Beginner</v>
      </c>
      <c r="F44" s="9" t="str">
        <f aca="false">IFERROR(INDEX('Term Map'!$B$2:$B$319,MATCH(C44,'Term Map'!$D$2:$D$319,0)),"")</f>
        <v>06 Purchasing and Contracts</v>
      </c>
    </row>
    <row r="45" customFormat="false" ht="15" hidden="false" customHeight="false" outlineLevel="0" collapsed="false">
      <c r="A45" s="9" t="s">
        <v>2546</v>
      </c>
      <c r="B45" s="9" t="n">
        <v>16</v>
      </c>
      <c r="C45" s="9" t="s">
        <v>1067</v>
      </c>
      <c r="D45" s="9" t="str">
        <f aca="false">IFERROR(INDEX('Term Map'!$A$2:$A$319,MATCH(C45,'Term Map'!$D$2:$D$319,0)),"Not found")</f>
        <v>M06-008</v>
      </c>
      <c r="E45" s="9" t="str">
        <f aca="false">IFERROR(INDEX('Term Map'!$K$2:$K$319,MATCH(C45,'Term Map'!$D$2:$D$319,0)),"")</f>
        <v>Beginner</v>
      </c>
      <c r="F45" s="9" t="str">
        <f aca="false">IFERROR(INDEX('Term Map'!$B$2:$B$319,MATCH(C45,'Term Map'!$D$2:$D$319,0)),"")</f>
        <v>06 Purchasing and Contracts</v>
      </c>
    </row>
    <row r="46" customFormat="false" ht="15" hidden="false" customHeight="false" outlineLevel="0" collapsed="false">
      <c r="A46" s="9" t="s">
        <v>2546</v>
      </c>
      <c r="B46" s="9" t="n">
        <v>17</v>
      </c>
      <c r="C46" s="9" t="s">
        <v>937</v>
      </c>
      <c r="D46" s="9" t="str">
        <f aca="false">IFERROR(INDEX('Term Map'!$A$2:$A$319,MATCH(C46,'Term Map'!$D$2:$D$319,0)),"Not found")</f>
        <v>M05-021</v>
      </c>
      <c r="E46" s="9" t="str">
        <f aca="false">IFERROR(INDEX('Term Map'!$K$2:$K$319,MATCH(C46,'Term Map'!$D$2:$D$319,0)),"")</f>
        <v>Intermediate</v>
      </c>
      <c r="F46" s="9" t="str">
        <f aca="false">IFERROR(INDEX('Term Map'!$B$2:$B$319,MATCH(C46,'Term Map'!$D$2:$D$319,0)),"")</f>
        <v>05 Inventory and Storerooms</v>
      </c>
    </row>
    <row r="47" customFormat="false" ht="15" hidden="false" customHeight="false" outlineLevel="0" collapsed="false">
      <c r="A47" s="9" t="s">
        <v>2546</v>
      </c>
      <c r="B47" s="9" t="n">
        <v>18</v>
      </c>
      <c r="C47" s="9" t="s">
        <v>951</v>
      </c>
      <c r="D47" s="9" t="str">
        <f aca="false">IFERROR(INDEX('Term Map'!$A$2:$A$319,MATCH(C47,'Term Map'!$D$2:$D$319,0)),"Not found")</f>
        <v>M05-023</v>
      </c>
      <c r="E47" s="9" t="str">
        <f aca="false">IFERROR(INDEX('Term Map'!$K$2:$K$319,MATCH(C47,'Term Map'!$D$2:$D$319,0)),"")</f>
        <v>Intermediate</v>
      </c>
      <c r="F47" s="9" t="str">
        <f aca="false">IFERROR(INDEX('Term Map'!$B$2:$B$319,MATCH(C47,'Term Map'!$D$2:$D$319,0)),"")</f>
        <v>05 Inventory and Storerooms</v>
      </c>
    </row>
    <row r="48" customFormat="false" ht="15" hidden="false" customHeight="false" outlineLevel="0" collapsed="false">
      <c r="A48" s="10" t="s">
        <v>2547</v>
      </c>
      <c r="B48" s="9" t="n">
        <v>1</v>
      </c>
      <c r="C48" s="9" t="s">
        <v>1709</v>
      </c>
      <c r="D48" s="9" t="str">
        <f aca="false">IFERROR(INDEX('Term Map'!$A$2:$A$319,MATCH(C48,'Term Map'!$D$2:$D$319,0)),"Not found")</f>
        <v>M11-002</v>
      </c>
      <c r="E48" s="9" t="str">
        <f aca="false">IFERROR(INDEX('Term Map'!$K$2:$K$319,MATCH(C48,'Term Map'!$D$2:$D$319,0)),"")</f>
        <v>Beginner</v>
      </c>
      <c r="F48" s="9" t="str">
        <f aca="false">IFERROR(INDEX('Term Map'!$B$2:$B$319,MATCH(C48,'Term Map'!$D$2:$D$319,0)),"")</f>
        <v>11 MAS Platform, Deployment and Licensing</v>
      </c>
    </row>
    <row r="49" customFormat="false" ht="15" hidden="false" customHeight="false" outlineLevel="0" collapsed="false">
      <c r="A49" s="9" t="s">
        <v>2547</v>
      </c>
      <c r="B49" s="9" t="n">
        <v>2</v>
      </c>
      <c r="C49" s="9" t="s">
        <v>1698</v>
      </c>
      <c r="D49" s="9" t="str">
        <f aca="false">IFERROR(INDEX('Term Map'!$A$2:$A$319,MATCH(C49,'Term Map'!$D$2:$D$319,0)),"Not found")</f>
        <v>M11-001</v>
      </c>
      <c r="E49" s="9" t="str">
        <f aca="false">IFERROR(INDEX('Term Map'!$K$2:$K$319,MATCH(C49,'Term Map'!$D$2:$D$319,0)),"")</f>
        <v>Beginner</v>
      </c>
      <c r="F49" s="9" t="str">
        <f aca="false">IFERROR(INDEX('Term Map'!$B$2:$B$319,MATCH(C49,'Term Map'!$D$2:$D$319,0)),"")</f>
        <v>11 MAS Platform, Deployment and Licensing</v>
      </c>
    </row>
    <row r="50" customFormat="false" ht="15" hidden="false" customHeight="false" outlineLevel="0" collapsed="false">
      <c r="A50" s="9" t="s">
        <v>2547</v>
      </c>
      <c r="B50" s="9" t="n">
        <v>3</v>
      </c>
      <c r="C50" s="9" t="s">
        <v>1718</v>
      </c>
      <c r="D50" s="9" t="str">
        <f aca="false">IFERROR(INDEX('Term Map'!$A$2:$A$319,MATCH(C50,'Term Map'!$D$2:$D$319,0)),"Not found")</f>
        <v>M11-003</v>
      </c>
      <c r="E50" s="9" t="str">
        <f aca="false">IFERROR(INDEX('Term Map'!$K$2:$K$319,MATCH(C50,'Term Map'!$D$2:$D$319,0)),"")</f>
        <v>Beginner</v>
      </c>
      <c r="F50" s="9" t="str">
        <f aca="false">IFERROR(INDEX('Term Map'!$B$2:$B$319,MATCH(C50,'Term Map'!$D$2:$D$319,0)),"")</f>
        <v>11 MAS Platform, Deployment and Licensing</v>
      </c>
    </row>
    <row r="51" customFormat="false" ht="15" hidden="false" customHeight="false" outlineLevel="0" collapsed="false">
      <c r="A51" s="9" t="s">
        <v>2547</v>
      </c>
      <c r="B51" s="9" t="n">
        <v>4</v>
      </c>
      <c r="C51" s="9" t="s">
        <v>1726</v>
      </c>
      <c r="D51" s="9" t="str">
        <f aca="false">IFERROR(INDEX('Term Map'!$A$2:$A$319,MATCH(C51,'Term Map'!$D$2:$D$319,0)),"Not found")</f>
        <v>M11-004</v>
      </c>
      <c r="E51" s="9" t="str">
        <f aca="false">IFERROR(INDEX('Term Map'!$K$2:$K$319,MATCH(C51,'Term Map'!$D$2:$D$319,0)),"")</f>
        <v>Intermediate</v>
      </c>
      <c r="F51" s="9" t="str">
        <f aca="false">IFERROR(INDEX('Term Map'!$B$2:$B$319,MATCH(C51,'Term Map'!$D$2:$D$319,0)),"")</f>
        <v>11 MAS Platform, Deployment and Licensing</v>
      </c>
    </row>
    <row r="52" customFormat="false" ht="15" hidden="false" customHeight="false" outlineLevel="0" collapsed="false">
      <c r="A52" s="9" t="s">
        <v>2547</v>
      </c>
      <c r="B52" s="9" t="n">
        <v>5</v>
      </c>
      <c r="C52" s="9" t="s">
        <v>1735</v>
      </c>
      <c r="D52" s="9" t="str">
        <f aca="false">IFERROR(INDEX('Term Map'!$A$2:$A$319,MATCH(C52,'Term Map'!$D$2:$D$319,0)),"Not found")</f>
        <v>M11-005</v>
      </c>
      <c r="E52" s="9" t="str">
        <f aca="false">IFERROR(INDEX('Term Map'!$K$2:$K$319,MATCH(C52,'Term Map'!$D$2:$D$319,0)),"")</f>
        <v>Intermediate</v>
      </c>
      <c r="F52" s="9" t="str">
        <f aca="false">IFERROR(INDEX('Term Map'!$B$2:$B$319,MATCH(C52,'Term Map'!$D$2:$D$319,0)),"")</f>
        <v>11 MAS Platform, Deployment and Licensing</v>
      </c>
    </row>
    <row r="53" customFormat="false" ht="15" hidden="false" customHeight="false" outlineLevel="0" collapsed="false">
      <c r="A53" s="9" t="s">
        <v>2547</v>
      </c>
      <c r="B53" s="9" t="n">
        <v>6</v>
      </c>
      <c r="C53" s="9" t="s">
        <v>1742</v>
      </c>
      <c r="D53" s="9" t="str">
        <f aca="false">IFERROR(INDEX('Term Map'!$A$2:$A$319,MATCH(C53,'Term Map'!$D$2:$D$319,0)),"Not found")</f>
        <v>M11-006</v>
      </c>
      <c r="E53" s="9" t="str">
        <f aca="false">IFERROR(INDEX('Term Map'!$K$2:$K$319,MATCH(C53,'Term Map'!$D$2:$D$319,0)),"")</f>
        <v>Intermediate</v>
      </c>
      <c r="F53" s="9" t="str">
        <f aca="false">IFERROR(INDEX('Term Map'!$B$2:$B$319,MATCH(C53,'Term Map'!$D$2:$D$319,0)),"")</f>
        <v>11 MAS Platform, Deployment and Licensing</v>
      </c>
    </row>
    <row r="54" customFormat="false" ht="15" hidden="false" customHeight="false" outlineLevel="0" collapsed="false">
      <c r="A54" s="9" t="s">
        <v>2547</v>
      </c>
      <c r="B54" s="9" t="n">
        <v>7</v>
      </c>
      <c r="C54" s="9" t="s">
        <v>1750</v>
      </c>
      <c r="D54" s="9" t="str">
        <f aca="false">IFERROR(INDEX('Term Map'!$A$2:$A$319,MATCH(C54,'Term Map'!$D$2:$D$319,0)),"Not found")</f>
        <v>M11-007</v>
      </c>
      <c r="E54" s="9" t="str">
        <f aca="false">IFERROR(INDEX('Term Map'!$K$2:$K$319,MATCH(C54,'Term Map'!$D$2:$D$319,0)),"")</f>
        <v>Advanced</v>
      </c>
      <c r="F54" s="9" t="str">
        <f aca="false">IFERROR(INDEX('Term Map'!$B$2:$B$319,MATCH(C54,'Term Map'!$D$2:$D$319,0)),"")</f>
        <v>11 MAS Platform, Deployment and Licensing</v>
      </c>
    </row>
    <row r="55" customFormat="false" ht="15" hidden="false" customHeight="false" outlineLevel="0" collapsed="false">
      <c r="A55" s="9" t="s">
        <v>2547</v>
      </c>
      <c r="B55" s="9" t="n">
        <v>8</v>
      </c>
      <c r="C55" s="9" t="s">
        <v>1756</v>
      </c>
      <c r="D55" s="9" t="str">
        <f aca="false">IFERROR(INDEX('Term Map'!$A$2:$A$319,MATCH(C55,'Term Map'!$D$2:$D$319,0)),"Not found")</f>
        <v>M11-008</v>
      </c>
      <c r="E55" s="9" t="str">
        <f aca="false">IFERROR(INDEX('Term Map'!$K$2:$K$319,MATCH(C55,'Term Map'!$D$2:$D$319,0)),"")</f>
        <v>Intermediate</v>
      </c>
      <c r="F55" s="9" t="str">
        <f aca="false">IFERROR(INDEX('Term Map'!$B$2:$B$319,MATCH(C55,'Term Map'!$D$2:$D$319,0)),"")</f>
        <v>11 MAS Platform, Deployment and Licensing</v>
      </c>
    </row>
    <row r="56" customFormat="false" ht="15" hidden="false" customHeight="false" outlineLevel="0" collapsed="false">
      <c r="A56" s="9" t="s">
        <v>2547</v>
      </c>
      <c r="B56" s="9" t="n">
        <v>9</v>
      </c>
      <c r="C56" s="9" t="s">
        <v>1770</v>
      </c>
      <c r="D56" s="9" t="str">
        <f aca="false">IFERROR(INDEX('Term Map'!$A$2:$A$319,MATCH(C56,'Term Map'!$D$2:$D$319,0)),"Not found")</f>
        <v>M11-010</v>
      </c>
      <c r="E56" s="9" t="str">
        <f aca="false">IFERROR(INDEX('Term Map'!$K$2:$K$319,MATCH(C56,'Term Map'!$D$2:$D$319,0)),"")</f>
        <v>Advanced</v>
      </c>
      <c r="F56" s="9" t="str">
        <f aca="false">IFERROR(INDEX('Term Map'!$B$2:$B$319,MATCH(C56,'Term Map'!$D$2:$D$319,0)),"")</f>
        <v>11 MAS Platform, Deployment and Licensing</v>
      </c>
    </row>
    <row r="57" customFormat="false" ht="15" hidden="false" customHeight="false" outlineLevel="0" collapsed="false">
      <c r="A57" s="9" t="s">
        <v>2547</v>
      </c>
      <c r="B57" s="9" t="n">
        <v>10</v>
      </c>
      <c r="C57" s="9" t="s">
        <v>1828</v>
      </c>
      <c r="D57" s="9" t="str">
        <f aca="false">IFERROR(INDEX('Term Map'!$A$2:$A$319,MATCH(C57,'Term Map'!$D$2:$D$319,0)),"Not found")</f>
        <v>M11-018</v>
      </c>
      <c r="E57" s="9" t="str">
        <f aca="false">IFERROR(INDEX('Term Map'!$K$2:$K$319,MATCH(C57,'Term Map'!$D$2:$D$319,0)),"")</f>
        <v>Intermediate</v>
      </c>
      <c r="F57" s="9" t="str">
        <f aca="false">IFERROR(INDEX('Term Map'!$B$2:$B$319,MATCH(C57,'Term Map'!$D$2:$D$319,0)),"")</f>
        <v>11 MAS Platform, Deployment and Licensing</v>
      </c>
    </row>
    <row r="58" customFormat="false" ht="15" hidden="false" customHeight="false" outlineLevel="0" collapsed="false">
      <c r="A58" s="9" t="s">
        <v>2547</v>
      </c>
      <c r="B58" s="9" t="n">
        <v>11</v>
      </c>
      <c r="C58" s="9" t="s">
        <v>1836</v>
      </c>
      <c r="D58" s="9" t="str">
        <f aca="false">IFERROR(INDEX('Term Map'!$A$2:$A$319,MATCH(C58,'Term Map'!$D$2:$D$319,0)),"Not found")</f>
        <v>M11-019</v>
      </c>
      <c r="E58" s="9" t="str">
        <f aca="false">IFERROR(INDEX('Term Map'!$K$2:$K$319,MATCH(C58,'Term Map'!$D$2:$D$319,0)),"")</f>
        <v>Intermediate</v>
      </c>
      <c r="F58" s="9" t="str">
        <f aca="false">IFERROR(INDEX('Term Map'!$B$2:$B$319,MATCH(C58,'Term Map'!$D$2:$D$319,0)),"")</f>
        <v>11 MAS Platform, Deployment and Licensing</v>
      </c>
    </row>
    <row r="59" customFormat="false" ht="15" hidden="false" customHeight="false" outlineLevel="0" collapsed="false">
      <c r="A59" s="9" t="s">
        <v>2547</v>
      </c>
      <c r="B59" s="9" t="n">
        <v>12</v>
      </c>
      <c r="C59" s="9" t="s">
        <v>1844</v>
      </c>
      <c r="D59" s="9" t="str">
        <f aca="false">IFERROR(INDEX('Term Map'!$A$2:$A$319,MATCH(C59,'Term Map'!$D$2:$D$319,0)),"Not found")</f>
        <v>M11-020</v>
      </c>
      <c r="E59" s="9" t="str">
        <f aca="false">IFERROR(INDEX('Term Map'!$K$2:$K$319,MATCH(C59,'Term Map'!$D$2:$D$319,0)),"")</f>
        <v>Intermediate</v>
      </c>
      <c r="F59" s="9" t="str">
        <f aca="false">IFERROR(INDEX('Term Map'!$B$2:$B$319,MATCH(C59,'Term Map'!$D$2:$D$319,0)),"")</f>
        <v>11 MAS Platform, Deployment and Licensing</v>
      </c>
    </row>
    <row r="60" customFormat="false" ht="23.85" hidden="false" customHeight="false" outlineLevel="0" collapsed="false">
      <c r="A60" s="9" t="s">
        <v>2547</v>
      </c>
      <c r="B60" s="9" t="n">
        <v>13</v>
      </c>
      <c r="C60" s="9" t="s">
        <v>2031</v>
      </c>
      <c r="D60" s="9" t="str">
        <f aca="false">IFERROR(INDEX('Term Map'!$A$2:$A$319,MATCH(C60,'Term Map'!$D$2:$D$319,0)),"Not found")</f>
        <v>M12-021</v>
      </c>
      <c r="E60" s="9" t="str">
        <f aca="false">IFERROR(INDEX('Term Map'!$K$2:$K$319,MATCH(C60,'Term Map'!$D$2:$D$319,0)),"")</f>
        <v>Beginner</v>
      </c>
      <c r="F60" s="9" t="str">
        <f aca="false">IFERROR(INDEX('Term Map'!$B$2:$B$319,MATCH(C60,'Term Map'!$D$2:$D$319,0)),"")</f>
        <v>12 MAS Applications: Monitor, Health, Predict, Mobile, AI</v>
      </c>
    </row>
    <row r="61" customFormat="false" ht="15" hidden="false" customHeight="false" outlineLevel="0" collapsed="false">
      <c r="A61" s="9" t="s">
        <v>2547</v>
      </c>
      <c r="B61" s="9" t="n">
        <v>14</v>
      </c>
      <c r="C61" s="9" t="s">
        <v>1874</v>
      </c>
      <c r="D61" s="9" t="str">
        <f aca="false">IFERROR(INDEX('Term Map'!$A$2:$A$319,MATCH(C61,'Term Map'!$D$2:$D$319,0)),"Not found")</f>
        <v>M11-024</v>
      </c>
      <c r="E61" s="9" t="str">
        <f aca="false">IFERROR(INDEX('Term Map'!$K$2:$K$319,MATCH(C61,'Term Map'!$D$2:$D$319,0)),"")</f>
        <v>Intermediate</v>
      </c>
      <c r="F61" s="9" t="str">
        <f aca="false">IFERROR(INDEX('Term Map'!$B$2:$B$319,MATCH(C61,'Term Map'!$D$2:$D$319,0)),"")</f>
        <v>11 MAS Platform, Deployment and Licensing</v>
      </c>
    </row>
    <row r="62" customFormat="false" ht="15" hidden="false" customHeight="false" outlineLevel="0" collapsed="false">
      <c r="A62" s="9" t="s">
        <v>2547</v>
      </c>
      <c r="B62" s="9" t="n">
        <v>15</v>
      </c>
      <c r="C62" s="9" t="s">
        <v>1858</v>
      </c>
      <c r="D62" s="9" t="str">
        <f aca="false">IFERROR(INDEX('Term Map'!$A$2:$A$319,MATCH(C62,'Term Map'!$D$2:$D$319,0)),"Not found")</f>
        <v>M11-022</v>
      </c>
      <c r="E62" s="9" t="str">
        <f aca="false">IFERROR(INDEX('Term Map'!$K$2:$K$319,MATCH(C62,'Term Map'!$D$2:$D$319,0)),"")</f>
        <v>Beginner</v>
      </c>
      <c r="F62" s="9" t="str">
        <f aca="false">IFERROR(INDEX('Term Map'!$B$2:$B$319,MATCH(C62,'Term Map'!$D$2:$D$319,0)),"")</f>
        <v>11 MAS Platform, Deployment and Licensing</v>
      </c>
    </row>
    <row r="63" customFormat="false" ht="15" hidden="false" customHeight="false" outlineLevel="0" collapsed="false">
      <c r="A63" s="10" t="s">
        <v>2548</v>
      </c>
      <c r="B63" s="9" t="n">
        <v>1</v>
      </c>
      <c r="C63" s="9" t="s">
        <v>2239</v>
      </c>
      <c r="D63" s="9" t="str">
        <f aca="false">IFERROR(INDEX('Term Map'!$A$2:$A$319,MATCH(C63,'Term Map'!$D$2:$D$319,0)),"Not found")</f>
        <v>M14-003</v>
      </c>
      <c r="E63" s="9" t="str">
        <f aca="false">IFERROR(INDEX('Term Map'!$K$2:$K$319,MATCH(C63,'Term Map'!$D$2:$D$319,0)),"")</f>
        <v>Beginner</v>
      </c>
      <c r="F63" s="9" t="str">
        <f aca="false">IFERROR(INDEX('Term Map'!$B$2:$B$319,MATCH(C63,'Term Map'!$D$2:$D$319,0)),"")</f>
        <v>14 Maintenance and Reliability Concepts</v>
      </c>
    </row>
    <row r="64" customFormat="false" ht="15" hidden="false" customHeight="false" outlineLevel="0" collapsed="false">
      <c r="A64" s="9" t="s">
        <v>2548</v>
      </c>
      <c r="B64" s="9" t="n">
        <v>2</v>
      </c>
      <c r="C64" s="9" t="s">
        <v>2247</v>
      </c>
      <c r="D64" s="9" t="str">
        <f aca="false">IFERROR(INDEX('Term Map'!$A$2:$A$319,MATCH(C64,'Term Map'!$D$2:$D$319,0)),"Not found")</f>
        <v>M14-004</v>
      </c>
      <c r="E64" s="9" t="str">
        <f aca="false">IFERROR(INDEX('Term Map'!$K$2:$K$319,MATCH(C64,'Term Map'!$D$2:$D$319,0)),"")</f>
        <v>Beginner</v>
      </c>
      <c r="F64" s="9" t="str">
        <f aca="false">IFERROR(INDEX('Term Map'!$B$2:$B$319,MATCH(C64,'Term Map'!$D$2:$D$319,0)),"")</f>
        <v>14 Maintenance and Reliability Concepts</v>
      </c>
    </row>
    <row r="65" customFormat="false" ht="15" hidden="false" customHeight="false" outlineLevel="0" collapsed="false">
      <c r="A65" s="9" t="s">
        <v>2548</v>
      </c>
      <c r="B65" s="9" t="n">
        <v>3</v>
      </c>
      <c r="C65" s="9" t="s">
        <v>2253</v>
      </c>
      <c r="D65" s="9" t="str">
        <f aca="false">IFERROR(INDEX('Term Map'!$A$2:$A$319,MATCH(C65,'Term Map'!$D$2:$D$319,0)),"Not found")</f>
        <v>M14-005</v>
      </c>
      <c r="E65" s="9" t="str">
        <f aca="false">IFERROR(INDEX('Term Map'!$K$2:$K$319,MATCH(C65,'Term Map'!$D$2:$D$319,0)),"")</f>
        <v>Intermediate</v>
      </c>
      <c r="F65" s="9" t="str">
        <f aca="false">IFERROR(INDEX('Term Map'!$B$2:$B$319,MATCH(C65,'Term Map'!$D$2:$D$319,0)),"")</f>
        <v>14 Maintenance and Reliability Concepts</v>
      </c>
    </row>
    <row r="66" customFormat="false" ht="15" hidden="false" customHeight="false" outlineLevel="0" collapsed="false">
      <c r="A66" s="9" t="s">
        <v>2548</v>
      </c>
      <c r="B66" s="9" t="n">
        <v>4</v>
      </c>
      <c r="C66" s="9" t="s">
        <v>2289</v>
      </c>
      <c r="D66" s="9" t="str">
        <f aca="false">IFERROR(INDEX('Term Map'!$A$2:$A$319,MATCH(C66,'Term Map'!$D$2:$D$319,0)),"Not found")</f>
        <v>M14-010</v>
      </c>
      <c r="E66" s="9" t="str">
        <f aca="false">IFERROR(INDEX('Term Map'!$K$2:$K$319,MATCH(C66,'Term Map'!$D$2:$D$319,0)),"")</f>
        <v>Intermediate</v>
      </c>
      <c r="F66" s="9" t="str">
        <f aca="false">IFERROR(INDEX('Term Map'!$B$2:$B$319,MATCH(C66,'Term Map'!$D$2:$D$319,0)),"")</f>
        <v>14 Maintenance and Reliability Concepts</v>
      </c>
    </row>
    <row r="67" customFormat="false" ht="15" hidden="false" customHeight="false" outlineLevel="0" collapsed="false">
      <c r="A67" s="9" t="s">
        <v>2548</v>
      </c>
      <c r="B67" s="9" t="n">
        <v>5</v>
      </c>
      <c r="C67" s="9" t="s">
        <v>2260</v>
      </c>
      <c r="D67" s="9" t="str">
        <f aca="false">IFERROR(INDEX('Term Map'!$A$2:$A$319,MATCH(C67,'Term Map'!$D$2:$D$319,0)),"Not found")</f>
        <v>M14-006</v>
      </c>
      <c r="E67" s="9" t="str">
        <f aca="false">IFERROR(INDEX('Term Map'!$K$2:$K$319,MATCH(C67,'Term Map'!$D$2:$D$319,0)),"")</f>
        <v>Intermediate</v>
      </c>
      <c r="F67" s="9" t="str">
        <f aca="false">IFERROR(INDEX('Term Map'!$B$2:$B$319,MATCH(C67,'Term Map'!$D$2:$D$319,0)),"")</f>
        <v>14 Maintenance and Reliability Concepts</v>
      </c>
    </row>
    <row r="68" customFormat="false" ht="15" hidden="false" customHeight="false" outlineLevel="0" collapsed="false">
      <c r="A68" s="9" t="s">
        <v>2548</v>
      </c>
      <c r="B68" s="9" t="n">
        <v>6</v>
      </c>
      <c r="C68" s="9" t="s">
        <v>2282</v>
      </c>
      <c r="D68" s="9" t="str">
        <f aca="false">IFERROR(INDEX('Term Map'!$A$2:$A$319,MATCH(C68,'Term Map'!$D$2:$D$319,0)),"Not found")</f>
        <v>M14-009</v>
      </c>
      <c r="E68" s="9" t="str">
        <f aca="false">IFERROR(INDEX('Term Map'!$K$2:$K$319,MATCH(C68,'Term Map'!$D$2:$D$319,0)),"")</f>
        <v>Intermediate</v>
      </c>
      <c r="F68" s="9" t="str">
        <f aca="false">IFERROR(INDEX('Term Map'!$B$2:$B$319,MATCH(C68,'Term Map'!$D$2:$D$319,0)),"")</f>
        <v>14 Maintenance and Reliability Concepts</v>
      </c>
    </row>
    <row r="69" customFormat="false" ht="15" hidden="false" customHeight="false" outlineLevel="0" collapsed="false">
      <c r="A69" s="9" t="s">
        <v>2548</v>
      </c>
      <c r="B69" s="9" t="n">
        <v>7</v>
      </c>
      <c r="C69" s="9" t="s">
        <v>2275</v>
      </c>
      <c r="D69" s="9" t="str">
        <f aca="false">IFERROR(INDEX('Term Map'!$A$2:$A$319,MATCH(C69,'Term Map'!$D$2:$D$319,0)),"Not found")</f>
        <v>M14-008</v>
      </c>
      <c r="E69" s="9" t="str">
        <f aca="false">IFERROR(INDEX('Term Map'!$K$2:$K$319,MATCH(C69,'Term Map'!$D$2:$D$319,0)),"")</f>
        <v>Advanced</v>
      </c>
      <c r="F69" s="9" t="str">
        <f aca="false">IFERROR(INDEX('Term Map'!$B$2:$B$319,MATCH(C69,'Term Map'!$D$2:$D$319,0)),"")</f>
        <v>14 Maintenance and Reliability Concepts</v>
      </c>
    </row>
    <row r="70" customFormat="false" ht="15" hidden="false" customHeight="false" outlineLevel="0" collapsed="false">
      <c r="A70" s="9" t="s">
        <v>2548</v>
      </c>
      <c r="B70" s="9" t="n">
        <v>8</v>
      </c>
      <c r="C70" s="9" t="s">
        <v>2267</v>
      </c>
      <c r="D70" s="9" t="str">
        <f aca="false">IFERROR(INDEX('Term Map'!$A$2:$A$319,MATCH(C70,'Term Map'!$D$2:$D$319,0)),"Not found")</f>
        <v>M14-007</v>
      </c>
      <c r="E70" s="9" t="str">
        <f aca="false">IFERROR(INDEX('Term Map'!$K$2:$K$319,MATCH(C70,'Term Map'!$D$2:$D$319,0)),"")</f>
        <v>Advanced</v>
      </c>
      <c r="F70" s="9" t="str">
        <f aca="false">IFERROR(INDEX('Term Map'!$B$2:$B$319,MATCH(C70,'Term Map'!$D$2:$D$319,0)),"")</f>
        <v>14 Maintenance and Reliability Concepts</v>
      </c>
    </row>
    <row r="71" customFormat="false" ht="15" hidden="false" customHeight="false" outlineLevel="0" collapsed="false">
      <c r="A71" s="9" t="s">
        <v>2548</v>
      </c>
      <c r="B71" s="9" t="n">
        <v>9</v>
      </c>
      <c r="C71" s="9" t="s">
        <v>371</v>
      </c>
      <c r="D71" s="9" t="str">
        <f aca="false">IFERROR(INDEX('Term Map'!$A$2:$A$319,MATCH(C71,'Term Map'!$D$2:$D$319,0)),"Not found")</f>
        <v>M02-024</v>
      </c>
      <c r="E71" s="9" t="str">
        <f aca="false">IFERROR(INDEX('Term Map'!$K$2:$K$319,MATCH(C71,'Term Map'!$D$2:$D$319,0)),"")</f>
        <v>Intermediate</v>
      </c>
      <c r="F71" s="9" t="str">
        <f aca="false">IFERROR(INDEX('Term Map'!$B$2:$B$319,MATCH(C71,'Term Map'!$D$2:$D$319,0)),"")</f>
        <v>02 Assets and Locations</v>
      </c>
    </row>
    <row r="72" customFormat="false" ht="15" hidden="false" customHeight="false" outlineLevel="0" collapsed="false">
      <c r="A72" s="9" t="s">
        <v>2548</v>
      </c>
      <c r="B72" s="9" t="n">
        <v>10</v>
      </c>
      <c r="C72" s="9" t="s">
        <v>2334</v>
      </c>
      <c r="D72" s="9" t="str">
        <f aca="false">IFERROR(INDEX('Term Map'!$A$2:$A$319,MATCH(C72,'Term Map'!$D$2:$D$319,0)),"Not found")</f>
        <v>M14-016</v>
      </c>
      <c r="E72" s="9" t="str">
        <f aca="false">IFERROR(INDEX('Term Map'!$K$2:$K$319,MATCH(C72,'Term Map'!$D$2:$D$319,0)),"")</f>
        <v>Beginner</v>
      </c>
      <c r="F72" s="9" t="str">
        <f aca="false">IFERROR(INDEX('Term Map'!$B$2:$B$319,MATCH(C72,'Term Map'!$D$2:$D$319,0)),"")</f>
        <v>14 Maintenance and Reliability Concepts</v>
      </c>
    </row>
    <row r="73" customFormat="false" ht="15" hidden="false" customHeight="false" outlineLevel="0" collapsed="false">
      <c r="A73" s="9" t="s">
        <v>2548</v>
      </c>
      <c r="B73" s="9" t="n">
        <v>11</v>
      </c>
      <c r="C73" s="9" t="s">
        <v>2341</v>
      </c>
      <c r="D73" s="9" t="str">
        <f aca="false">IFERROR(INDEX('Term Map'!$A$2:$A$319,MATCH(C73,'Term Map'!$D$2:$D$319,0)),"Not found")</f>
        <v>M14-017</v>
      </c>
      <c r="E73" s="9" t="str">
        <f aca="false">IFERROR(INDEX('Term Map'!$K$2:$K$319,MATCH(C73,'Term Map'!$D$2:$D$319,0)),"")</f>
        <v>Beginner</v>
      </c>
      <c r="F73" s="9" t="str">
        <f aca="false">IFERROR(INDEX('Term Map'!$B$2:$B$319,MATCH(C73,'Term Map'!$D$2:$D$319,0)),"")</f>
        <v>14 Maintenance and Reliability Concepts</v>
      </c>
    </row>
    <row r="74" customFormat="false" ht="23.85" hidden="false" customHeight="false" outlineLevel="0" collapsed="false">
      <c r="A74" s="9" t="s">
        <v>2548</v>
      </c>
      <c r="B74" s="9" t="n">
        <v>12</v>
      </c>
      <c r="C74" s="9" t="s">
        <v>1883</v>
      </c>
      <c r="D74" s="9" t="str">
        <f aca="false">IFERROR(INDEX('Term Map'!$A$2:$A$319,MATCH(C74,'Term Map'!$D$2:$D$319,0)),"Not found")</f>
        <v>M12-001</v>
      </c>
      <c r="E74" s="9" t="str">
        <f aca="false">IFERROR(INDEX('Term Map'!$K$2:$K$319,MATCH(C74,'Term Map'!$D$2:$D$319,0)),"")</f>
        <v>Intermediate</v>
      </c>
      <c r="F74" s="9" t="str">
        <f aca="false">IFERROR(INDEX('Term Map'!$B$2:$B$319,MATCH(C74,'Term Map'!$D$2:$D$319,0)),"")</f>
        <v>12 MAS Applications: Monitor, Health, Predict, Mobile, AI</v>
      </c>
    </row>
    <row r="75" customFormat="false" ht="23.85" hidden="false" customHeight="false" outlineLevel="0" collapsed="false">
      <c r="A75" s="9" t="s">
        <v>2548</v>
      </c>
      <c r="B75" s="9" t="n">
        <v>13</v>
      </c>
      <c r="C75" s="9" t="s">
        <v>1893</v>
      </c>
      <c r="D75" s="9" t="str">
        <f aca="false">IFERROR(INDEX('Term Map'!$A$2:$A$319,MATCH(C75,'Term Map'!$D$2:$D$319,0)),"Not found")</f>
        <v>M12-002</v>
      </c>
      <c r="E75" s="9" t="str">
        <f aca="false">IFERROR(INDEX('Term Map'!$K$2:$K$319,MATCH(C75,'Term Map'!$D$2:$D$319,0)),"")</f>
        <v>Intermediate</v>
      </c>
      <c r="F75" s="9" t="str">
        <f aca="false">IFERROR(INDEX('Term Map'!$B$2:$B$319,MATCH(C75,'Term Map'!$D$2:$D$319,0)),"")</f>
        <v>12 MAS Applications: Monitor, Health, Predict, Mobile, AI</v>
      </c>
    </row>
    <row r="76" customFormat="false" ht="23.85" hidden="false" customHeight="false" outlineLevel="0" collapsed="false">
      <c r="A76" s="9" t="s">
        <v>2548</v>
      </c>
      <c r="B76" s="9" t="n">
        <v>14</v>
      </c>
      <c r="C76" s="9" t="s">
        <v>1938</v>
      </c>
      <c r="D76" s="9" t="str">
        <f aca="false">IFERROR(INDEX('Term Map'!$A$2:$A$319,MATCH(C76,'Term Map'!$D$2:$D$319,0)),"Not found")</f>
        <v>M12-008</v>
      </c>
      <c r="E76" s="9" t="str">
        <f aca="false">IFERROR(INDEX('Term Map'!$K$2:$K$319,MATCH(C76,'Term Map'!$D$2:$D$319,0)),"")</f>
        <v>Intermediate</v>
      </c>
      <c r="F76" s="9" t="str">
        <f aca="false">IFERROR(INDEX('Term Map'!$B$2:$B$319,MATCH(C76,'Term Map'!$D$2:$D$319,0)),"")</f>
        <v>12 MAS Applications: Monitor, Health, Predict, Mobile, AI</v>
      </c>
    </row>
    <row r="77" customFormat="false" ht="23.85" hidden="false" customHeight="false" outlineLevel="0" collapsed="false">
      <c r="A77" s="9" t="s">
        <v>2548</v>
      </c>
      <c r="B77" s="9" t="n">
        <v>15</v>
      </c>
      <c r="C77" s="9" t="s">
        <v>1945</v>
      </c>
      <c r="D77" s="9" t="str">
        <f aca="false">IFERROR(INDEX('Term Map'!$A$2:$A$319,MATCH(C77,'Term Map'!$D$2:$D$319,0)),"Not found")</f>
        <v>M12-009</v>
      </c>
      <c r="E77" s="9" t="str">
        <f aca="false">IFERROR(INDEX('Term Map'!$K$2:$K$319,MATCH(C77,'Term Map'!$D$2:$D$319,0)),"")</f>
        <v>Intermediate</v>
      </c>
      <c r="F77" s="9" t="str">
        <f aca="false">IFERROR(INDEX('Term Map'!$B$2:$B$319,MATCH(C77,'Term Map'!$D$2:$D$319,0)),"")</f>
        <v>12 MAS Applications: Monitor, Health, Predict, Mobile, AI</v>
      </c>
    </row>
    <row r="78" customFormat="false" ht="23.85" hidden="false" customHeight="false" outlineLevel="0" collapsed="false">
      <c r="A78" s="9" t="s">
        <v>2548</v>
      </c>
      <c r="B78" s="9" t="n">
        <v>16</v>
      </c>
      <c r="C78" s="9" t="s">
        <v>1980</v>
      </c>
      <c r="D78" s="9" t="str">
        <f aca="false">IFERROR(INDEX('Term Map'!$A$2:$A$319,MATCH(C78,'Term Map'!$D$2:$D$319,0)),"Not found")</f>
        <v>M12-014</v>
      </c>
      <c r="E78" s="9" t="str">
        <f aca="false">IFERROR(INDEX('Term Map'!$K$2:$K$319,MATCH(C78,'Term Map'!$D$2:$D$319,0)),"")</f>
        <v>Advanced</v>
      </c>
      <c r="F78" s="9" t="str">
        <f aca="false">IFERROR(INDEX('Term Map'!$B$2:$B$319,MATCH(C78,'Term Map'!$D$2:$D$319,0)),"")</f>
        <v>12 MAS Applications: Monitor, Health, Predict, Mobile, AI</v>
      </c>
    </row>
    <row r="79" customFormat="false" ht="23.85" hidden="false" customHeight="false" outlineLevel="0" collapsed="false">
      <c r="A79" s="9" t="s">
        <v>2548</v>
      </c>
      <c r="B79" s="9" t="n">
        <v>17</v>
      </c>
      <c r="C79" s="9" t="s">
        <v>2002</v>
      </c>
      <c r="D79" s="9" t="str">
        <f aca="false">IFERROR(INDEX('Term Map'!$A$2:$A$319,MATCH(C79,'Term Map'!$D$2:$D$319,0)),"Not found")</f>
        <v>M12-017</v>
      </c>
      <c r="E79" s="9" t="str">
        <f aca="false">IFERROR(INDEX('Term Map'!$K$2:$K$319,MATCH(C79,'Term Map'!$D$2:$D$319,0)),"")</f>
        <v>Intermediate</v>
      </c>
      <c r="F79" s="9" t="str">
        <f aca="false">IFERROR(INDEX('Term Map'!$B$2:$B$319,MATCH(C79,'Term Map'!$D$2:$D$319,0)),"")</f>
        <v>12 MAS Applications: Monitor, Health, Predict, Mobile, AI</v>
      </c>
    </row>
    <row r="80" customFormat="false" ht="15" hidden="false" customHeight="false" outlineLevel="0" collapsed="false">
      <c r="A80" s="10" t="s">
        <v>2549</v>
      </c>
      <c r="B80" s="9" t="n">
        <v>1</v>
      </c>
      <c r="C80" s="9" t="s">
        <v>1398</v>
      </c>
      <c r="D80" s="9" t="str">
        <f aca="false">IFERROR(INDEX('Term Map'!$A$2:$A$319,MATCH(C80,'Term Map'!$D$2:$D$319,0)),"Not found")</f>
        <v>M09-001</v>
      </c>
      <c r="E80" s="9" t="str">
        <f aca="false">IFERROR(INDEX('Term Map'!$K$2:$K$319,MATCH(C80,'Term Map'!$D$2:$D$319,0)),"")</f>
        <v>Beginner</v>
      </c>
      <c r="F80" s="9" t="str">
        <f aca="false">IFERROR(INDEX('Term Map'!$B$2:$B$319,MATCH(C80,'Term Map'!$D$2:$D$319,0)),"")</f>
        <v>09 Platform, Configuration and Administration</v>
      </c>
    </row>
    <row r="81" customFormat="false" ht="15" hidden="false" customHeight="false" outlineLevel="0" collapsed="false">
      <c r="A81" s="9" t="s">
        <v>2549</v>
      </c>
      <c r="B81" s="9" t="n">
        <v>2</v>
      </c>
      <c r="C81" s="9" t="s">
        <v>1192</v>
      </c>
      <c r="D81" s="9" t="str">
        <f aca="false">IFERROR(INDEX('Term Map'!$A$2:$A$319,MATCH(C81,'Term Map'!$D$2:$D$319,0)),"Not found")</f>
        <v>M07-002</v>
      </c>
      <c r="E81" s="9" t="str">
        <f aca="false">IFERROR(INDEX('Term Map'!$K$2:$K$319,MATCH(C81,'Term Map'!$D$2:$D$319,0)),"")</f>
        <v>Beginner</v>
      </c>
      <c r="F81" s="9" t="str">
        <f aca="false">IFERROR(INDEX('Term Map'!$B$2:$B$319,MATCH(C81,'Term Map'!$D$2:$D$319,0)),"")</f>
        <v>07 Labor, Crafts and Scheduling</v>
      </c>
    </row>
    <row r="82" customFormat="false" ht="15" hidden="false" customHeight="false" outlineLevel="0" collapsed="false">
      <c r="A82" s="9" t="s">
        <v>2549</v>
      </c>
      <c r="B82" s="9" t="n">
        <v>3</v>
      </c>
      <c r="C82" s="9" t="s">
        <v>1182</v>
      </c>
      <c r="D82" s="9" t="str">
        <f aca="false">IFERROR(INDEX('Term Map'!$A$2:$A$319,MATCH(C82,'Term Map'!$D$2:$D$319,0)),"Not found")</f>
        <v>M07-001</v>
      </c>
      <c r="E82" s="9" t="str">
        <f aca="false">IFERROR(INDEX('Term Map'!$K$2:$K$319,MATCH(C82,'Term Map'!$D$2:$D$319,0)),"")</f>
        <v>Beginner</v>
      </c>
      <c r="F82" s="9" t="str">
        <f aca="false">IFERROR(INDEX('Term Map'!$B$2:$B$319,MATCH(C82,'Term Map'!$D$2:$D$319,0)),"")</f>
        <v>07 Labor, Crafts and Scheduling</v>
      </c>
    </row>
    <row r="83" customFormat="false" ht="15" hidden="false" customHeight="false" outlineLevel="0" collapsed="false">
      <c r="A83" s="9" t="s">
        <v>2549</v>
      </c>
      <c r="B83" s="9" t="n">
        <v>4</v>
      </c>
      <c r="C83" s="9" t="s">
        <v>1201</v>
      </c>
      <c r="D83" s="9" t="str">
        <f aca="false">IFERROR(INDEX('Term Map'!$A$2:$A$319,MATCH(C83,'Term Map'!$D$2:$D$319,0)),"Not found")</f>
        <v>M07-003</v>
      </c>
      <c r="E83" s="9" t="str">
        <f aca="false">IFERROR(INDEX('Term Map'!$K$2:$K$319,MATCH(C83,'Term Map'!$D$2:$D$319,0)),"")</f>
        <v>Beginner</v>
      </c>
      <c r="F83" s="9" t="str">
        <f aca="false">IFERROR(INDEX('Term Map'!$B$2:$B$319,MATCH(C83,'Term Map'!$D$2:$D$319,0)),"")</f>
        <v>07 Labor, Crafts and Scheduling</v>
      </c>
    </row>
    <row r="84" customFormat="false" ht="15" hidden="false" customHeight="false" outlineLevel="0" collapsed="false">
      <c r="A84" s="9" t="s">
        <v>2549</v>
      </c>
      <c r="B84" s="9" t="n">
        <v>5</v>
      </c>
      <c r="C84" s="9" t="s">
        <v>1424</v>
      </c>
      <c r="D84" s="9" t="str">
        <f aca="false">IFERROR(INDEX('Term Map'!$A$2:$A$319,MATCH(C84,'Term Map'!$D$2:$D$319,0)),"Not found")</f>
        <v>M09-004</v>
      </c>
      <c r="E84" s="9" t="str">
        <f aca="false">IFERROR(INDEX('Term Map'!$K$2:$K$319,MATCH(C84,'Term Map'!$D$2:$D$319,0)),"")</f>
        <v>Intermediate</v>
      </c>
      <c r="F84" s="9" t="str">
        <f aca="false">IFERROR(INDEX('Term Map'!$B$2:$B$319,MATCH(C84,'Term Map'!$D$2:$D$319,0)),"")</f>
        <v>09 Platform, Configuration and Administration</v>
      </c>
    </row>
    <row r="85" customFormat="false" ht="15" hidden="false" customHeight="false" outlineLevel="0" collapsed="false">
      <c r="A85" s="9" t="s">
        <v>2549</v>
      </c>
      <c r="B85" s="9" t="n">
        <v>6</v>
      </c>
      <c r="C85" s="9" t="s">
        <v>1432</v>
      </c>
      <c r="D85" s="9" t="str">
        <f aca="false">IFERROR(INDEX('Term Map'!$A$2:$A$319,MATCH(C85,'Term Map'!$D$2:$D$319,0)),"Not found")</f>
        <v>M09-005</v>
      </c>
      <c r="E85" s="9" t="str">
        <f aca="false">IFERROR(INDEX('Term Map'!$K$2:$K$319,MATCH(C85,'Term Map'!$D$2:$D$319,0)),"")</f>
        <v>Intermediate</v>
      </c>
      <c r="F85" s="9" t="str">
        <f aca="false">IFERROR(INDEX('Term Map'!$B$2:$B$319,MATCH(C85,'Term Map'!$D$2:$D$319,0)),"")</f>
        <v>09 Platform, Configuration and Administration</v>
      </c>
    </row>
    <row r="86" customFormat="false" ht="15" hidden="false" customHeight="false" outlineLevel="0" collapsed="false">
      <c r="A86" s="9" t="s">
        <v>2549</v>
      </c>
      <c r="B86" s="9" t="n">
        <v>7</v>
      </c>
      <c r="C86" s="9" t="s">
        <v>1444</v>
      </c>
      <c r="D86" s="9" t="str">
        <f aca="false">IFERROR(INDEX('Term Map'!$A$2:$A$319,MATCH(C86,'Term Map'!$D$2:$D$319,0)),"Not found")</f>
        <v>M09-007</v>
      </c>
      <c r="E86" s="9" t="str">
        <f aca="false">IFERROR(INDEX('Term Map'!$K$2:$K$319,MATCH(C86,'Term Map'!$D$2:$D$319,0)),"")</f>
        <v>Advanced</v>
      </c>
      <c r="F86" s="9" t="str">
        <f aca="false">IFERROR(INDEX('Term Map'!$B$2:$B$319,MATCH(C86,'Term Map'!$D$2:$D$319,0)),"")</f>
        <v>09 Platform, Configuration and Administration</v>
      </c>
    </row>
    <row r="87" customFormat="false" ht="15" hidden="false" customHeight="false" outlineLevel="0" collapsed="false">
      <c r="A87" s="9" t="s">
        <v>2549</v>
      </c>
      <c r="B87" s="9" t="n">
        <v>8</v>
      </c>
      <c r="C87" s="9" t="s">
        <v>1465</v>
      </c>
      <c r="D87" s="9" t="str">
        <f aca="false">IFERROR(INDEX('Term Map'!$A$2:$A$319,MATCH(C87,'Term Map'!$D$2:$D$319,0)),"Not found")</f>
        <v>M09-010</v>
      </c>
      <c r="E87" s="9" t="str">
        <f aca="false">IFERROR(INDEX('Term Map'!$K$2:$K$319,MATCH(C87,'Term Map'!$D$2:$D$319,0)),"")</f>
        <v>Advanced</v>
      </c>
      <c r="F87" s="9" t="str">
        <f aca="false">IFERROR(INDEX('Term Map'!$B$2:$B$319,MATCH(C87,'Term Map'!$D$2:$D$319,0)),"")</f>
        <v>09 Platform, Configuration and Administration</v>
      </c>
    </row>
    <row r="88" customFormat="false" ht="15" hidden="false" customHeight="false" outlineLevel="0" collapsed="false">
      <c r="A88" s="9" t="s">
        <v>2549</v>
      </c>
      <c r="B88" s="9" t="n">
        <v>9</v>
      </c>
      <c r="C88" s="9" t="s">
        <v>1488</v>
      </c>
      <c r="D88" s="9" t="str">
        <f aca="false">IFERROR(INDEX('Term Map'!$A$2:$A$319,MATCH(C88,'Term Map'!$D$2:$D$319,0)),"Not found")</f>
        <v>M09-013</v>
      </c>
      <c r="E88" s="9" t="str">
        <f aca="false">IFERROR(INDEX('Term Map'!$K$2:$K$319,MATCH(C88,'Term Map'!$D$2:$D$319,0)),"")</f>
        <v>Intermediate</v>
      </c>
      <c r="F88" s="9" t="str">
        <f aca="false">IFERROR(INDEX('Term Map'!$B$2:$B$319,MATCH(C88,'Term Map'!$D$2:$D$319,0)),"")</f>
        <v>09 Platform, Configuration and Administration</v>
      </c>
    </row>
    <row r="89" customFormat="false" ht="15" hidden="false" customHeight="false" outlineLevel="0" collapsed="false">
      <c r="A89" s="9" t="s">
        <v>2549</v>
      </c>
      <c r="B89" s="9" t="n">
        <v>10</v>
      </c>
      <c r="C89" s="9" t="s">
        <v>1495</v>
      </c>
      <c r="D89" s="9" t="str">
        <f aca="false">IFERROR(INDEX('Term Map'!$A$2:$A$319,MATCH(C89,'Term Map'!$D$2:$D$319,0)),"Not found")</f>
        <v>M09-014</v>
      </c>
      <c r="E89" s="9" t="str">
        <f aca="false">IFERROR(INDEX('Term Map'!$K$2:$K$319,MATCH(C89,'Term Map'!$D$2:$D$319,0)),"")</f>
        <v>Intermediate</v>
      </c>
      <c r="F89" s="9" t="str">
        <f aca="false">IFERROR(INDEX('Term Map'!$B$2:$B$319,MATCH(C89,'Term Map'!$D$2:$D$319,0)),"")</f>
        <v>09 Platform, Configuration and Administration</v>
      </c>
    </row>
    <row r="90" customFormat="false" ht="15" hidden="false" customHeight="false" outlineLevel="0" collapsed="false">
      <c r="A90" s="9" t="s">
        <v>2549</v>
      </c>
      <c r="B90" s="9" t="n">
        <v>11</v>
      </c>
      <c r="C90" s="9" t="s">
        <v>1523</v>
      </c>
      <c r="D90" s="9" t="str">
        <f aca="false">IFERROR(INDEX('Term Map'!$A$2:$A$319,MATCH(C90,'Term Map'!$D$2:$D$319,0)),"Not found")</f>
        <v>M09-018</v>
      </c>
      <c r="E90" s="9" t="str">
        <f aca="false">IFERROR(INDEX('Term Map'!$K$2:$K$319,MATCH(C90,'Term Map'!$D$2:$D$319,0)),"")</f>
        <v>Advanced</v>
      </c>
      <c r="F90" s="9" t="str">
        <f aca="false">IFERROR(INDEX('Term Map'!$B$2:$B$319,MATCH(C90,'Term Map'!$D$2:$D$319,0)),"")</f>
        <v>09 Platform, Configuration and Administration</v>
      </c>
    </row>
    <row r="91" customFormat="false" ht="15" hidden="false" customHeight="false" outlineLevel="0" collapsed="false">
      <c r="A91" s="9" t="s">
        <v>2549</v>
      </c>
      <c r="B91" s="9" t="n">
        <v>12</v>
      </c>
      <c r="C91" s="9" t="s">
        <v>1537</v>
      </c>
      <c r="D91" s="9" t="str">
        <f aca="false">IFERROR(INDEX('Term Map'!$A$2:$A$319,MATCH(C91,'Term Map'!$D$2:$D$319,0)),"Not found")</f>
        <v>M09-020</v>
      </c>
      <c r="E91" s="9" t="str">
        <f aca="false">IFERROR(INDEX('Term Map'!$K$2:$K$319,MATCH(C91,'Term Map'!$D$2:$D$319,0)),"")</f>
        <v>Intermediate</v>
      </c>
      <c r="F91" s="9" t="str">
        <f aca="false">IFERROR(INDEX('Term Map'!$B$2:$B$319,MATCH(C91,'Term Map'!$D$2:$D$319,0)),"")</f>
        <v>09 Platform, Configuration and Administration</v>
      </c>
    </row>
    <row r="92" customFormat="false" ht="15" hidden="false" customHeight="false" outlineLevel="0" collapsed="false">
      <c r="A92" s="9" t="s">
        <v>2549</v>
      </c>
      <c r="B92" s="9" t="n">
        <v>13</v>
      </c>
      <c r="C92" s="9" t="s">
        <v>1567</v>
      </c>
      <c r="D92" s="9" t="str">
        <f aca="false">IFERROR(INDEX('Term Map'!$A$2:$A$319,MATCH(C92,'Term Map'!$D$2:$D$319,0)),"Not found")</f>
        <v>M10-001</v>
      </c>
      <c r="E92" s="9" t="str">
        <f aca="false">IFERROR(INDEX('Term Map'!$K$2:$K$319,MATCH(C92,'Term Map'!$D$2:$D$319,0)),"")</f>
        <v>Advanced</v>
      </c>
      <c r="F92" s="9" t="str">
        <f aca="false">IFERROR(INDEX('Term Map'!$B$2:$B$319,MATCH(C92,'Term Map'!$D$2:$D$319,0)),"")</f>
        <v>10 Integration, Data and Reporting</v>
      </c>
    </row>
    <row r="93" customFormat="false" ht="15" hidden="false" customHeight="false" outlineLevel="0" collapsed="false">
      <c r="A93" s="9" t="s">
        <v>2549</v>
      </c>
      <c r="B93" s="9" t="n">
        <v>14</v>
      </c>
      <c r="C93" s="9" t="s">
        <v>1576</v>
      </c>
      <c r="D93" s="9" t="str">
        <f aca="false">IFERROR(INDEX('Term Map'!$A$2:$A$319,MATCH(C93,'Term Map'!$D$2:$D$319,0)),"Not found")</f>
        <v>M10-002</v>
      </c>
      <c r="E93" s="9" t="str">
        <f aca="false">IFERROR(INDEX('Term Map'!$K$2:$K$319,MATCH(C93,'Term Map'!$D$2:$D$319,0)),"")</f>
        <v>Advanced</v>
      </c>
      <c r="F93" s="9" t="str">
        <f aca="false">IFERROR(INDEX('Term Map'!$B$2:$B$319,MATCH(C93,'Term Map'!$D$2:$D$319,0)),"")</f>
        <v>10 Integration, Data and Reporting</v>
      </c>
    </row>
    <row r="94" customFormat="false" ht="15" hidden="false" customHeight="false" outlineLevel="0" collapsed="false">
      <c r="A94" s="9" t="s">
        <v>2549</v>
      </c>
      <c r="B94" s="9" t="n">
        <v>15</v>
      </c>
      <c r="C94" s="9" t="s">
        <v>1619</v>
      </c>
      <c r="D94" s="9" t="str">
        <f aca="false">IFERROR(INDEX('Term Map'!$A$2:$A$319,MATCH(C94,'Term Map'!$D$2:$D$319,0)),"Not found")</f>
        <v>M10-008</v>
      </c>
      <c r="E94" s="9" t="str">
        <f aca="false">IFERROR(INDEX('Term Map'!$K$2:$K$319,MATCH(C94,'Term Map'!$D$2:$D$319,0)),"")</f>
        <v>Advanced</v>
      </c>
      <c r="F94" s="9" t="str">
        <f aca="false">IFERROR(INDEX('Term Map'!$B$2:$B$319,MATCH(C94,'Term Map'!$D$2:$D$319,0)),"")</f>
        <v>10 Integration, Data and Reporting</v>
      </c>
    </row>
    <row r="95" customFormat="false" ht="15" hidden="false" customHeight="false" outlineLevel="0" collapsed="false">
      <c r="A95" s="9" t="s">
        <v>2549</v>
      </c>
      <c r="B95" s="9" t="n">
        <v>16</v>
      </c>
      <c r="C95" s="9" t="s">
        <v>1551</v>
      </c>
      <c r="D95" s="9" t="str">
        <f aca="false">IFERROR(INDEX('Term Map'!$A$2:$A$319,MATCH(C95,'Term Map'!$D$2:$D$319,0)),"Not found")</f>
        <v>M09-022</v>
      </c>
      <c r="E95" s="9" t="str">
        <f aca="false">IFERROR(INDEX('Term Map'!$K$2:$K$319,MATCH(C95,'Term Map'!$D$2:$D$319,0)),"")</f>
        <v>Advanced</v>
      </c>
      <c r="F95" s="9" t="str">
        <f aca="false">IFERROR(INDEX('Term Map'!$B$2:$B$319,MATCH(C95,'Term Map'!$D$2:$D$319,0)),"")</f>
        <v>09 Platform, Configuration and Administration</v>
      </c>
    </row>
  </sheetData>
  <autoFilter ref="A1:F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88888"/>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70"/>
    <col collapsed="false" customWidth="true" hidden="false" outlineLevel="0" max="3" min="3" style="0" width="80"/>
  </cols>
  <sheetData>
    <row r="1" customFormat="false" ht="15" hidden="false" customHeight="false" outlineLevel="0" collapsed="false">
      <c r="A1" s="6" t="s">
        <v>2550</v>
      </c>
      <c r="B1" s="6" t="s">
        <v>2551</v>
      </c>
      <c r="C1" s="6" t="s">
        <v>2552</v>
      </c>
    </row>
    <row r="2" customFormat="false" ht="23.85" hidden="false" customHeight="false" outlineLevel="0" collapsed="false">
      <c r="A2" s="10" t="s">
        <v>2553</v>
      </c>
      <c r="B2" s="9" t="s">
        <v>2554</v>
      </c>
      <c r="C2" s="9" t="s">
        <v>2555</v>
      </c>
    </row>
    <row r="3" customFormat="false" ht="23.85" hidden="false" customHeight="false" outlineLevel="0" collapsed="false">
      <c r="A3" s="10" t="s">
        <v>2556</v>
      </c>
      <c r="B3" s="9" t="s">
        <v>2557</v>
      </c>
      <c r="C3" s="9" t="s">
        <v>2558</v>
      </c>
    </row>
    <row r="4" customFormat="false" ht="23.85" hidden="false" customHeight="false" outlineLevel="0" collapsed="false">
      <c r="A4" s="10" t="s">
        <v>2559</v>
      </c>
      <c r="B4" s="9" t="s">
        <v>2560</v>
      </c>
      <c r="C4" s="9" t="s">
        <v>2561</v>
      </c>
    </row>
    <row r="5" customFormat="false" ht="23.85" hidden="false" customHeight="false" outlineLevel="0" collapsed="false">
      <c r="A5" s="10" t="s">
        <v>2562</v>
      </c>
      <c r="B5" s="9" t="s">
        <v>2563</v>
      </c>
      <c r="C5" s="9" t="s">
        <v>2564</v>
      </c>
    </row>
    <row r="6" customFormat="false" ht="23.85" hidden="false" customHeight="false" outlineLevel="0" collapsed="false">
      <c r="A6" s="10" t="s">
        <v>2565</v>
      </c>
      <c r="B6" s="9" t="s">
        <v>2566</v>
      </c>
      <c r="C6" s="9" t="s">
        <v>2567</v>
      </c>
    </row>
    <row r="7" customFormat="false" ht="35.05" hidden="false" customHeight="false" outlineLevel="0" collapsed="false">
      <c r="A7" s="10" t="s">
        <v>2568</v>
      </c>
      <c r="B7" s="9" t="s">
        <v>2569</v>
      </c>
      <c r="C7" s="9" t="s">
        <v>2570</v>
      </c>
    </row>
    <row r="8" customFormat="false" ht="23.85" hidden="false" customHeight="false" outlineLevel="0" collapsed="false">
      <c r="A8" s="10" t="s">
        <v>2571</v>
      </c>
      <c r="B8" s="9" t="s">
        <v>2572</v>
      </c>
      <c r="C8" s="9" t="s">
        <v>2573</v>
      </c>
    </row>
    <row r="9" customFormat="false" ht="15" hidden="false" customHeight="false" outlineLevel="0" collapsed="false">
      <c r="A9" s="10" t="s">
        <v>2574</v>
      </c>
      <c r="B9" s="9" t="s">
        <v>2575</v>
      </c>
      <c r="C9" s="9" t="s">
        <v>2576</v>
      </c>
    </row>
    <row r="10" customFormat="false" ht="23.85" hidden="false" customHeight="false" outlineLevel="0" collapsed="false">
      <c r="A10" s="10" t="s">
        <v>2577</v>
      </c>
      <c r="B10" s="9" t="s">
        <v>2578</v>
      </c>
      <c r="C10" s="9" t="s">
        <v>2579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2026-10-02T19:37:50Z</dcterms:created>
  <dc:creator>openpyxl</dc:creator>
  <dc:description/>
  <dc:language>en-US</dc:language>
  <cp:lastModifiedBy/>
  <dcterms:modified xsi:type="dcterms:W3CDTF">2026-10-02T19:37:51Z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